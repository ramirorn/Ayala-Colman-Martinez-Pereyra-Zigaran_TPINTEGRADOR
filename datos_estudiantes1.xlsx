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 Estudiantes" sheetId="1" state="visible" r:id="rId3"/>
    <sheet name="Resoluciones" sheetId="2" state="visible" r:id="rId4"/>
    <sheet name="Etapa 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<sst xmlns="http://schemas.openxmlformats.org/spreadsheetml/2006/main" count="121" uniqueCount="111">
  <si>
    <t xml:space="preserve">Horas de consumo de redes sociales por día</t>
  </si>
  <si>
    <t xml:space="preserve">Rendimiento académico</t>
  </si>
  <si>
    <t xml:space="preserve">x =&gt;</t>
  </si>
  <si>
    <t xml:space="preserve">LA CEBOLLA</t>
  </si>
  <si>
    <t xml:space="preserve">a) Identificar:</t>
  </si>
  <si>
    <t xml:space="preserve">f) Calcular e interpretar</t>
  </si>
  <si>
    <t xml:space="preserve">Media Aritmetica</t>
  </si>
  <si>
    <t xml:space="preserve">Moda</t>
  </si>
  <si>
    <t xml:space="preserve">Mediana</t>
  </si>
  <si>
    <t xml:space="preserve">Coeficiente de Asimetria</t>
  </si>
  <si>
    <t xml:space="preserve">Coeficiente de Curtosis</t>
  </si>
  <si>
    <t xml:space="preserve">Variable estadística.</t>
  </si>
  <si>
    <t xml:space="preserve">Tipo de variable.</t>
  </si>
  <si>
    <t xml:space="preserve">Escala de medición.</t>
  </si>
  <si>
    <t xml:space="preserve">Cuantitativa</t>
  </si>
  <si>
    <t xml:space="preserve">Discreta</t>
  </si>
  <si>
    <t xml:space="preserve">De Razon</t>
  </si>
  <si>
    <t xml:space="preserve">Intervalo</t>
  </si>
  <si>
    <t xml:space="preserve">b) Identificar:</t>
  </si>
  <si>
    <t xml:space="preserve">g) Calcular e interpretar</t>
  </si>
  <si>
    <t xml:space="preserve">Poblacion</t>
  </si>
  <si>
    <t xml:space="preserve">Muestra</t>
  </si>
  <si>
    <t xml:space="preserve">Unidad de observacion</t>
  </si>
  <si>
    <t xml:space="preserve">Varianza</t>
  </si>
  <si>
    <t xml:space="preserve">Desvio Estandar</t>
  </si>
  <si>
    <t xml:space="preserve">Coeficiente de Variacion</t>
  </si>
  <si>
    <t xml:space="preserve">Jovenes de la provincia de Formosa</t>
  </si>
  <si>
    <t xml:space="preserve">Los 200 estudiantes seleccionados para el estudio</t>
  </si>
  <si>
    <t xml:space="preserve">Cada estudiante que ha completado el cuestionario</t>
  </si>
  <si>
    <t xml:space="preserve">c) Tabla de Frecuencias</t>
  </si>
  <si>
    <t xml:space="preserve">h) Calcular e interpretar</t>
  </si>
  <si>
    <t xml:space="preserve">x</t>
  </si>
  <si>
    <t xml:space="preserve">fi</t>
  </si>
  <si>
    <t xml:space="preserve">Fi</t>
  </si>
  <si>
    <t xml:space="preserve">fri</t>
  </si>
  <si>
    <t xml:space="preserve">Fri</t>
  </si>
  <si>
    <t xml:space="preserve">pi%</t>
  </si>
  <si>
    <t xml:space="preserve">Pi%</t>
  </si>
  <si>
    <t xml:space="preserve">x*f</t>
  </si>
  <si>
    <t xml:space="preserve">(x-prom)^2*fi</t>
  </si>
  <si>
    <t xml:space="preserve">(x-prom)^3*fi</t>
  </si>
  <si>
    <t xml:space="preserve">(x-prom)^4*fi</t>
  </si>
  <si>
    <t xml:space="preserve">Cuartiles</t>
  </si>
  <si>
    <t xml:space="preserve">Deciles</t>
  </si>
  <si>
    <t xml:space="preserve">Percentiles</t>
  </si>
  <si>
    <t xml:space="preserve">Q1</t>
  </si>
  <si>
    <t xml:space="preserve">D3</t>
  </si>
  <si>
    <t xml:space="preserve">P23</t>
  </si>
  <si>
    <t xml:space="preserve">Q3</t>
  </si>
  <si>
    <t xml:space="preserve">D4</t>
  </si>
  <si>
    <t xml:space="preserve">P75</t>
  </si>
  <si>
    <t xml:space="preserve">D9</t>
  </si>
  <si>
    <t xml:space="preserve">P97</t>
  </si>
  <si>
    <t xml:space="preserve">indicador</t>
  </si>
  <si>
    <t xml:space="preserve">Interpretaciones</t>
  </si>
  <si>
    <t xml:space="preserve">fi2</t>
  </si>
  <si>
    <t xml:space="preserve">27 jovenes utilizan el celular exactamente 2 horas al dia</t>
  </si>
  <si>
    <t xml:space="preserve">fi5</t>
  </si>
  <si>
    <t xml:space="preserve">26 jovenes utilizan el celular exactamente 5 horas al dia</t>
  </si>
  <si>
    <t xml:space="preserve">fi8</t>
  </si>
  <si>
    <t xml:space="preserve">13 jovenes utilizan el celular exactamente 8 horas al dia</t>
  </si>
  <si>
    <t xml:space="preserve">Fi4</t>
  </si>
  <si>
    <t xml:space="preserve">111 jovenes utilizan el celular hasta 4 horas al dia</t>
  </si>
  <si>
    <t xml:space="preserve">Fi7</t>
  </si>
  <si>
    <t xml:space="preserve">187 jovenes utilizan el celular hasta 7 horas al dia</t>
  </si>
  <si>
    <t xml:space="preserve">pi3</t>
  </si>
  <si>
    <t xml:space="preserve">14% de los jovenes utilizan el celular exactamente 3 horas al dia</t>
  </si>
  <si>
    <t xml:space="preserve">pi6</t>
  </si>
  <si>
    <t xml:space="preserve">13% de los jovenes utilizan el celular exactamente 6 horas al dia</t>
  </si>
  <si>
    <t xml:space="preserve">pi8</t>
  </si>
  <si>
    <t xml:space="preserve">6,5% de los jovenes utilizan el celular exactamente 8 horas al dia</t>
  </si>
  <si>
    <t xml:space="preserve">Pi8</t>
  </si>
  <si>
    <t xml:space="preserve">100% de los jovenes utilizan el celular hasta 8 horas al dia</t>
  </si>
  <si>
    <t xml:space="preserve">e) Determinar</t>
  </si>
  <si>
    <t xml:space="preserve">Cantidad de estudiantes que utilizan entre 3 y 8 horas diarias las redes sociales.</t>
  </si>
  <si>
    <t xml:space="preserve">La cantidad de jovenes que utilizan entre 3 y 8 horas diaras las redes sociales es de 149</t>
  </si>
  <si>
    <t xml:space="preserve">Porcentaje de estudiantes que utilizan más de 6 horas diarias las redes sociales.</t>
  </si>
  <si>
    <t xml:space="preserve">El porcentaje de jovenes que utilizan mas de 6 horas diarias las redes sociales es del 18,5%</t>
  </si>
  <si>
    <t xml:space="preserve">Cantidad de estudiantes que utilizan menos de 2 horas diarias las redes sociales.</t>
  </si>
  <si>
    <t xml:space="preserve">La cantidad de jovenes que utilizan menos de 2 horas diarias las redes sociales es de 24</t>
  </si>
  <si>
    <t xml:space="preserve">Porcentaje de estudiantes que utilizan entre 5 y 8 horas diarias las redes sociales.</t>
  </si>
  <si>
    <t xml:space="preserve">La cantidad de jovenes que utilizan entre 5 y 8 horas diarias las redes sociales es del 44,5%</t>
  </si>
  <si>
    <t xml:space="preserve">Cantidad de estudiantes que utilizan más de 8 horas diarias las redes sociales.</t>
  </si>
  <si>
    <t xml:space="preserve">La cantidad de jovenes que utilizan mas de 8 horas diarias las redes sociales es de 0</t>
  </si>
  <si>
    <t xml:space="preserve">Porcentaje de estudiantes que utilizan menos de 4 horas diarias las redes sociales.</t>
  </si>
  <si>
    <t xml:space="preserve">El porcentaje de jovenes que utilizan menos de 4 horas diarias las redes sociales es del 39,5%</t>
  </si>
  <si>
    <t xml:space="preserve">Cantidad de estudiantes que utilizan entre 1 y 6 horas diarias las redes sociales.</t>
  </si>
  <si>
    <t xml:space="preserve">La cantidad de estudiantes que utilizan entre 1 y 6 horas diarias las redes sociales es de 163</t>
  </si>
  <si>
    <t xml:space="preserve">Porcentaje de estudiantes que utilizan más de 9 horas diarias las redes sociales.</t>
  </si>
  <si>
    <t xml:space="preserve">El porcentaje de jovenes que utilizan mas de 9 horas diarias las redes sociales es de 0</t>
  </si>
  <si>
    <t xml:space="preserve">ETAPA 5: CORRELACIÓN Y REGRESIÓN LINEAL</t>
  </si>
  <si>
    <t xml:space="preserve">Variables: X = Horas de redes sociales por día | Y = Rendimiento académico</t>
  </si>
  <si>
    <t xml:space="preserve">Cálculos</t>
  </si>
  <si>
    <t xml:space="preserve">n (cantidad de estudiantes)</t>
  </si>
  <si>
    <t xml:space="preserve">Media de X (horas)</t>
  </si>
  <si>
    <t xml:space="preserve">Media de Y (rendimiento)</t>
  </si>
  <si>
    <t xml:space="preserve">Pendiente (b)</t>
  </si>
  <si>
    <t xml:space="preserve">Ordenada al origen (a)</t>
  </si>
  <si>
    <t xml:space="preserve">Coef. de correlación (r)</t>
  </si>
  <si>
    <t xml:space="preserve">Coef. de determinación (r²)</t>
  </si>
  <si>
    <t xml:space="preserve">Recta de regresión</t>
  </si>
  <si>
    <t xml:space="preserve">b) Tipo de correlación:</t>
  </si>
  <si>
    <t xml:space="preserve">Se observa una correlación lineal NEGATIVA de intensidad moderada-fuerte: a medida que aumentan las horas de redes sociales, el rendimiento académico tiende a disminuir.</t>
  </si>
  <si>
    <t xml:space="preserve">c) Recta de regresión:</t>
  </si>
  <si>
    <t xml:space="preserve">ŷ = 9,397 − 0,379·x. Se obtuvo con las funciones PENDIENTE e INTERSECCION.EJE de Excel.</t>
  </si>
  <si>
    <t xml:space="preserve">d) Pendiente:</t>
  </si>
  <si>
    <t xml:space="preserve">b = −0,379: por cada hora adicional de redes sociales por día, el rendimiento académico disminuye en promedio 0,379 puntos.</t>
  </si>
  <si>
    <t xml:space="preserve">e) Coeficiente de correlación:</t>
  </si>
  <si>
    <t xml:space="preserve">r = −0,686: correlación negativa moderada-fuerte entre ambas variables (r cercano a −0,7).</t>
  </si>
  <si>
    <t xml:space="preserve">f) Coeficiente de determinación:</t>
  </si>
  <si>
    <t xml:space="preserve">r² = 0,470: el 47% de la variabilidad del rendimiento académico se explica por las horas de uso de redes sociales; el 53% restante se debe a otros factores (hábitos de estudio, horas de sueño, etc.).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</si>
</sst>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D5E8F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theme="9" tint="0.3999"/>
        <bgColor rgb="FFD9D9D9"/>
      </patternFill>
    </fill>
    <fill>
      <patternFill patternType="solid">
        <fgColor theme="9" tint="0.7999"/>
        <bgColor rgb="FFFFFFFF"/>
      </patternFill>
    </fill>
    <fill>
      <patternFill patternType="solid">
        <fgColor rgb="FFD5E8F0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DEADA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AC090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Diagrama de dispersión: Horas de redes sociales vs. Rendimiento académico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"Estudiantes"</c:f>
              <c:strCache>
                <c:ptCount val="1"/>
                <c:pt idx="0">
                  <c:v>Estudiantes</c:v>
                </c:pt>
              </c:strCache>
            </c:strRef>
          </c:tx>
          <c:spPr>
            <a:solidFill>
              <a:srgbClr val="FFFFFF"/>
            </a:solidFill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'Datos Estudiantes'!$A$2:$A$201</c:f>
              <c:numCache>
                <c:formatCode>General</c:formatCode>
                <c:ptCount val="20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7</c:v>
                </c:pt>
                <c:pt idx="5">
                  <c:v>4</c:v>
                </c:pt>
                <c:pt idx="6">
                  <c:v>1</c:v>
                </c:pt>
                <c:pt idx="7">
                  <c:v>7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7</c:v>
                </c:pt>
                <c:pt idx="15">
                  <c:v>5</c:v>
                </c:pt>
                <c:pt idx="16">
                  <c:v>1</c:v>
                </c:pt>
                <c:pt idx="17">
                  <c:v>7</c:v>
                </c:pt>
                <c:pt idx="18">
                  <c:v>2</c:v>
                </c:pt>
                <c:pt idx="19">
                  <c:v>6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2</c:v>
                </c:pt>
                <c:pt idx="24">
                  <c:v>7</c:v>
                </c:pt>
                <c:pt idx="25">
                  <c:v>6</c:v>
                </c:pt>
                <c:pt idx="26">
                  <c:v>3</c:v>
                </c:pt>
                <c:pt idx="27">
                  <c:v>5</c:v>
                </c:pt>
                <c:pt idx="28">
                  <c:v>2</c:v>
                </c:pt>
                <c:pt idx="29">
                  <c:v>4</c:v>
                </c:pt>
                <c:pt idx="30">
                  <c:v>3</c:v>
                </c:pt>
                <c:pt idx="31">
                  <c:v>4</c:v>
                </c:pt>
                <c:pt idx="32">
                  <c:v>6</c:v>
                </c:pt>
                <c:pt idx="33">
                  <c:v>4</c:v>
                </c:pt>
                <c:pt idx="34">
                  <c:v>1</c:v>
                </c:pt>
                <c:pt idx="35">
                  <c:v>2</c:v>
                </c:pt>
                <c:pt idx="36">
                  <c:v>4</c:v>
                </c:pt>
                <c:pt idx="37">
                  <c:v>6</c:v>
                </c:pt>
                <c:pt idx="38">
                  <c:v>4</c:v>
                </c:pt>
                <c:pt idx="39">
                  <c:v>8</c:v>
                </c:pt>
                <c:pt idx="40">
                  <c:v>3</c:v>
                </c:pt>
                <c:pt idx="41">
                  <c:v>5</c:v>
                </c:pt>
                <c:pt idx="42">
                  <c:v>7</c:v>
                </c:pt>
                <c:pt idx="43">
                  <c:v>4</c:v>
                </c:pt>
                <c:pt idx="44">
                  <c:v>3</c:v>
                </c:pt>
                <c:pt idx="45">
                  <c:v>1</c:v>
                </c:pt>
                <c:pt idx="46">
                  <c:v>2</c:v>
                </c:pt>
                <c:pt idx="47">
                  <c:v>7</c:v>
                </c:pt>
                <c:pt idx="48">
                  <c:v>2</c:v>
                </c:pt>
                <c:pt idx="49">
                  <c:v>8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5</c:v>
                </c:pt>
                <c:pt idx="54">
                  <c:v>6</c:v>
                </c:pt>
                <c:pt idx="55">
                  <c:v>8</c:v>
                </c:pt>
                <c:pt idx="56">
                  <c:v>1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1</c:v>
                </c:pt>
                <c:pt idx="62">
                  <c:v>6</c:v>
                </c:pt>
                <c:pt idx="63">
                  <c:v>6</c:v>
                </c:pt>
                <c:pt idx="64">
                  <c:v>5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5</c:v>
                </c:pt>
                <c:pt idx="71">
                  <c:v>4</c:v>
                </c:pt>
                <c:pt idx="72">
                  <c:v>4</c:v>
                </c:pt>
                <c:pt idx="73">
                  <c:v>6</c:v>
                </c:pt>
                <c:pt idx="74">
                  <c:v>8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1</c:v>
                </c:pt>
                <c:pt idx="80">
                  <c:v>4</c:v>
                </c:pt>
                <c:pt idx="81">
                  <c:v>6</c:v>
                </c:pt>
                <c:pt idx="82">
                  <c:v>2</c:v>
                </c:pt>
                <c:pt idx="83">
                  <c:v>8</c:v>
                </c:pt>
                <c:pt idx="84">
                  <c:v>4</c:v>
                </c:pt>
                <c:pt idx="85">
                  <c:v>8</c:v>
                </c:pt>
                <c:pt idx="86">
                  <c:v>4</c:v>
                </c:pt>
                <c:pt idx="87">
                  <c:v>4</c:v>
                </c:pt>
                <c:pt idx="88">
                  <c:v>2</c:v>
                </c:pt>
                <c:pt idx="89">
                  <c:v>7</c:v>
                </c:pt>
                <c:pt idx="90">
                  <c:v>7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4</c:v>
                </c:pt>
                <c:pt idx="95">
                  <c:v>3</c:v>
                </c:pt>
                <c:pt idx="96">
                  <c:v>7</c:v>
                </c:pt>
                <c:pt idx="97">
                  <c:v>2</c:v>
                </c:pt>
                <c:pt idx="98">
                  <c:v>8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2</c:v>
                </c:pt>
                <c:pt idx="103">
                  <c:v>3</c:v>
                </c:pt>
                <c:pt idx="104">
                  <c:v>7</c:v>
                </c:pt>
                <c:pt idx="105">
                  <c:v>7</c:v>
                </c:pt>
                <c:pt idx="106">
                  <c:v>1</c:v>
                </c:pt>
                <c:pt idx="107">
                  <c:v>7</c:v>
                </c:pt>
                <c:pt idx="108">
                  <c:v>5</c:v>
                </c:pt>
                <c:pt idx="109">
                  <c:v>5</c:v>
                </c:pt>
                <c:pt idx="110">
                  <c:v>7</c:v>
                </c:pt>
                <c:pt idx="111">
                  <c:v>8</c:v>
                </c:pt>
                <c:pt idx="112">
                  <c:v>3</c:v>
                </c:pt>
                <c:pt idx="113">
                  <c:v>1</c:v>
                </c:pt>
                <c:pt idx="114">
                  <c:v>1</c:v>
                </c:pt>
                <c:pt idx="115">
                  <c:v>8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4</c:v>
                </c:pt>
                <c:pt idx="120">
                  <c:v>7</c:v>
                </c:pt>
                <c:pt idx="121">
                  <c:v>4</c:v>
                </c:pt>
                <c:pt idx="122">
                  <c:v>1</c:v>
                </c:pt>
                <c:pt idx="123">
                  <c:v>6</c:v>
                </c:pt>
                <c:pt idx="124">
                  <c:v>5</c:v>
                </c:pt>
                <c:pt idx="125">
                  <c:v>4</c:v>
                </c:pt>
                <c:pt idx="126">
                  <c:v>5</c:v>
                </c:pt>
                <c:pt idx="127">
                  <c:v>5</c:v>
                </c:pt>
                <c:pt idx="128">
                  <c:v>8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3</c:v>
                </c:pt>
                <c:pt idx="134">
                  <c:v>6</c:v>
                </c:pt>
                <c:pt idx="135">
                  <c:v>6</c:v>
                </c:pt>
                <c:pt idx="136">
                  <c:v>5</c:v>
                </c:pt>
                <c:pt idx="137">
                  <c:v>5</c:v>
                </c:pt>
                <c:pt idx="138">
                  <c:v>1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6</c:v>
                </c:pt>
                <c:pt idx="144">
                  <c:v>4</c:v>
                </c:pt>
                <c:pt idx="145">
                  <c:v>8</c:v>
                </c:pt>
                <c:pt idx="146">
                  <c:v>5</c:v>
                </c:pt>
                <c:pt idx="147">
                  <c:v>2</c:v>
                </c:pt>
                <c:pt idx="148">
                  <c:v>7</c:v>
                </c:pt>
                <c:pt idx="149">
                  <c:v>6</c:v>
                </c:pt>
                <c:pt idx="150">
                  <c:v>3</c:v>
                </c:pt>
                <c:pt idx="151">
                  <c:v>8</c:v>
                </c:pt>
                <c:pt idx="152">
                  <c:v>7</c:v>
                </c:pt>
                <c:pt idx="153">
                  <c:v>3</c:v>
                </c:pt>
                <c:pt idx="154">
                  <c:v>1</c:v>
                </c:pt>
                <c:pt idx="155">
                  <c:v>3</c:v>
                </c:pt>
                <c:pt idx="156">
                  <c:v>7</c:v>
                </c:pt>
                <c:pt idx="157">
                  <c:v>1</c:v>
                </c:pt>
                <c:pt idx="158">
                  <c:v>6</c:v>
                </c:pt>
                <c:pt idx="159">
                  <c:v>2</c:v>
                </c:pt>
                <c:pt idx="160">
                  <c:v>6</c:v>
                </c:pt>
                <c:pt idx="161">
                  <c:v>7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6</c:v>
                </c:pt>
                <c:pt idx="166">
                  <c:v>7</c:v>
                </c:pt>
                <c:pt idx="167">
                  <c:v>4</c:v>
                </c:pt>
                <c:pt idx="168">
                  <c:v>5</c:v>
                </c:pt>
                <c:pt idx="169">
                  <c:v>7</c:v>
                </c:pt>
                <c:pt idx="170">
                  <c:v>1</c:v>
                </c:pt>
                <c:pt idx="171">
                  <c:v>8</c:v>
                </c:pt>
                <c:pt idx="172">
                  <c:v>6</c:v>
                </c:pt>
                <c:pt idx="173">
                  <c:v>4</c:v>
                </c:pt>
                <c:pt idx="174">
                  <c:v>4</c:v>
                </c:pt>
                <c:pt idx="175">
                  <c:v>6</c:v>
                </c:pt>
                <c:pt idx="176">
                  <c:v>5</c:v>
                </c:pt>
                <c:pt idx="177">
                  <c:v>5</c:v>
                </c:pt>
                <c:pt idx="178">
                  <c:v>6</c:v>
                </c:pt>
                <c:pt idx="179">
                  <c:v>6</c:v>
                </c:pt>
                <c:pt idx="180">
                  <c:v>1</c:v>
                </c:pt>
                <c:pt idx="181">
                  <c:v>3</c:v>
                </c:pt>
                <c:pt idx="182">
                  <c:v>5</c:v>
                </c:pt>
                <c:pt idx="183">
                  <c:v>6</c:v>
                </c:pt>
                <c:pt idx="184">
                  <c:v>6</c:v>
                </c:pt>
                <c:pt idx="185">
                  <c:v>2</c:v>
                </c:pt>
                <c:pt idx="186">
                  <c:v>7</c:v>
                </c:pt>
                <c:pt idx="187">
                  <c:v>1</c:v>
                </c:pt>
                <c:pt idx="188">
                  <c:v>7</c:v>
                </c:pt>
                <c:pt idx="189">
                  <c:v>4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3</c:v>
                </c:pt>
                <c:pt idx="197">
                  <c:v>7</c:v>
                </c:pt>
                <c:pt idx="198">
                  <c:v>3</c:v>
                </c:pt>
                <c:pt idx="199">
                  <c:v>1</c:v>
                </c:pt>
              </c:numCache>
            </c:numRef>
          </c:xVal>
          <c:yVal>
            <c:numRef>
              <c:f>'Datos Estudiantes'!$B$2:$B$201</c:f>
              <c:numCache>
                <c:formatCode>General</c:formatCode>
                <c:ptCount val="20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7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7</c:v>
                </c:pt>
                <c:pt idx="34">
                  <c:v>9</c:v>
                </c:pt>
                <c:pt idx="35">
                  <c:v>8</c:v>
                </c:pt>
                <c:pt idx="36">
                  <c:v>9</c:v>
                </c:pt>
                <c:pt idx="37">
                  <c:v>7</c:v>
                </c:pt>
                <c:pt idx="38">
                  <c:v>7</c:v>
                </c:pt>
                <c:pt idx="39">
                  <c:v>6</c:v>
                </c:pt>
                <c:pt idx="40">
                  <c:v>8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8</c:v>
                </c:pt>
                <c:pt idx="45">
                  <c:v>9</c:v>
                </c:pt>
                <c:pt idx="46">
                  <c:v>9</c:v>
                </c:pt>
                <c:pt idx="47">
                  <c:v>7</c:v>
                </c:pt>
                <c:pt idx="48">
                  <c:v>8</c:v>
                </c:pt>
                <c:pt idx="49">
                  <c:v>7</c:v>
                </c:pt>
                <c:pt idx="50">
                  <c:v>9</c:v>
                </c:pt>
                <c:pt idx="51">
                  <c:v>9</c:v>
                </c:pt>
                <c:pt idx="52">
                  <c:v>8</c:v>
                </c:pt>
                <c:pt idx="53">
                  <c:v>7</c:v>
                </c:pt>
                <c:pt idx="54">
                  <c:v>8</c:v>
                </c:pt>
                <c:pt idx="55">
                  <c:v>7</c:v>
                </c:pt>
                <c:pt idx="56">
                  <c:v>10</c:v>
                </c:pt>
                <c:pt idx="57">
                  <c:v>7</c:v>
                </c:pt>
                <c:pt idx="58">
                  <c:v>8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7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9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6</c:v>
                </c:pt>
                <c:pt idx="71">
                  <c:v>8</c:v>
                </c:pt>
                <c:pt idx="72">
                  <c:v>8</c:v>
                </c:pt>
                <c:pt idx="73">
                  <c:v>6</c:v>
                </c:pt>
                <c:pt idx="74">
                  <c:v>7</c:v>
                </c:pt>
                <c:pt idx="75">
                  <c:v>7</c:v>
                </c:pt>
                <c:pt idx="76">
                  <c:v>8</c:v>
                </c:pt>
                <c:pt idx="77">
                  <c:v>8</c:v>
                </c:pt>
                <c:pt idx="78">
                  <c:v>9</c:v>
                </c:pt>
                <c:pt idx="79">
                  <c:v>9</c:v>
                </c:pt>
                <c:pt idx="80">
                  <c:v>8</c:v>
                </c:pt>
                <c:pt idx="81">
                  <c:v>7</c:v>
                </c:pt>
                <c:pt idx="82">
                  <c:v>8</c:v>
                </c:pt>
                <c:pt idx="83">
                  <c:v>6</c:v>
                </c:pt>
                <c:pt idx="84">
                  <c:v>7</c:v>
                </c:pt>
                <c:pt idx="85">
                  <c:v>6</c:v>
                </c:pt>
                <c:pt idx="86">
                  <c:v>8</c:v>
                </c:pt>
                <c:pt idx="87">
                  <c:v>6</c:v>
                </c:pt>
                <c:pt idx="88">
                  <c:v>9</c:v>
                </c:pt>
                <c:pt idx="89">
                  <c:v>7</c:v>
                </c:pt>
                <c:pt idx="90">
                  <c:v>5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8</c:v>
                </c:pt>
                <c:pt idx="95">
                  <c:v>9</c:v>
                </c:pt>
                <c:pt idx="96">
                  <c:v>7</c:v>
                </c:pt>
                <c:pt idx="97">
                  <c:v>10</c:v>
                </c:pt>
                <c:pt idx="98">
                  <c:v>7</c:v>
                </c:pt>
                <c:pt idx="99">
                  <c:v>7</c:v>
                </c:pt>
                <c:pt idx="100">
                  <c:v>9</c:v>
                </c:pt>
                <c:pt idx="101">
                  <c:v>8</c:v>
                </c:pt>
                <c:pt idx="102">
                  <c:v>10</c:v>
                </c:pt>
                <c:pt idx="103">
                  <c:v>8</c:v>
                </c:pt>
                <c:pt idx="104">
                  <c:v>6</c:v>
                </c:pt>
                <c:pt idx="105">
                  <c:v>7</c:v>
                </c:pt>
                <c:pt idx="106">
                  <c:v>9</c:v>
                </c:pt>
                <c:pt idx="107">
                  <c:v>7</c:v>
                </c:pt>
                <c:pt idx="108">
                  <c:v>9</c:v>
                </c:pt>
                <c:pt idx="109">
                  <c:v>7</c:v>
                </c:pt>
                <c:pt idx="110">
                  <c:v>6</c:v>
                </c:pt>
                <c:pt idx="111">
                  <c:v>5</c:v>
                </c:pt>
                <c:pt idx="112">
                  <c:v>9</c:v>
                </c:pt>
                <c:pt idx="113">
                  <c:v>10</c:v>
                </c:pt>
                <c:pt idx="114">
                  <c:v>9</c:v>
                </c:pt>
                <c:pt idx="115">
                  <c:v>6</c:v>
                </c:pt>
                <c:pt idx="116">
                  <c:v>9</c:v>
                </c:pt>
                <c:pt idx="117">
                  <c:v>9</c:v>
                </c:pt>
                <c:pt idx="118">
                  <c:v>8</c:v>
                </c:pt>
                <c:pt idx="119">
                  <c:v>7</c:v>
                </c:pt>
                <c:pt idx="120">
                  <c:v>8</c:v>
                </c:pt>
                <c:pt idx="121">
                  <c:v>9</c:v>
                </c:pt>
                <c:pt idx="122">
                  <c:v>8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7</c:v>
                </c:pt>
                <c:pt idx="127">
                  <c:v>8</c:v>
                </c:pt>
                <c:pt idx="128">
                  <c:v>6</c:v>
                </c:pt>
                <c:pt idx="129">
                  <c:v>10</c:v>
                </c:pt>
                <c:pt idx="130">
                  <c:v>6</c:v>
                </c:pt>
                <c:pt idx="131">
                  <c:v>9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6</c:v>
                </c:pt>
                <c:pt idx="136">
                  <c:v>8</c:v>
                </c:pt>
                <c:pt idx="137">
                  <c:v>9</c:v>
                </c:pt>
                <c:pt idx="138">
                  <c:v>9</c:v>
                </c:pt>
                <c:pt idx="139">
                  <c:v>8</c:v>
                </c:pt>
                <c:pt idx="140">
                  <c:v>8</c:v>
                </c:pt>
                <c:pt idx="141">
                  <c:v>10</c:v>
                </c:pt>
                <c:pt idx="142">
                  <c:v>7</c:v>
                </c:pt>
                <c:pt idx="143">
                  <c:v>8</c:v>
                </c:pt>
                <c:pt idx="144">
                  <c:v>7</c:v>
                </c:pt>
                <c:pt idx="145">
                  <c:v>5</c:v>
                </c:pt>
                <c:pt idx="146">
                  <c:v>9</c:v>
                </c:pt>
                <c:pt idx="147">
                  <c:v>8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6</c:v>
                </c:pt>
                <c:pt idx="152">
                  <c:v>6</c:v>
                </c:pt>
                <c:pt idx="153">
                  <c:v>8</c:v>
                </c:pt>
                <c:pt idx="154">
                  <c:v>10</c:v>
                </c:pt>
                <c:pt idx="155">
                  <c:v>7</c:v>
                </c:pt>
                <c:pt idx="156">
                  <c:v>7</c:v>
                </c:pt>
                <c:pt idx="157">
                  <c:v>10</c:v>
                </c:pt>
                <c:pt idx="158">
                  <c:v>7</c:v>
                </c:pt>
                <c:pt idx="159">
                  <c:v>9</c:v>
                </c:pt>
                <c:pt idx="160">
                  <c:v>7</c:v>
                </c:pt>
                <c:pt idx="161">
                  <c:v>5</c:v>
                </c:pt>
                <c:pt idx="162">
                  <c:v>9</c:v>
                </c:pt>
                <c:pt idx="163">
                  <c:v>8</c:v>
                </c:pt>
                <c:pt idx="164">
                  <c:v>8</c:v>
                </c:pt>
                <c:pt idx="165">
                  <c:v>7</c:v>
                </c:pt>
                <c:pt idx="166">
                  <c:v>7</c:v>
                </c:pt>
                <c:pt idx="167">
                  <c:v>6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6</c:v>
                </c:pt>
                <c:pt idx="172">
                  <c:v>7</c:v>
                </c:pt>
                <c:pt idx="173">
                  <c:v>9</c:v>
                </c:pt>
                <c:pt idx="174">
                  <c:v>8</c:v>
                </c:pt>
                <c:pt idx="175">
                  <c:v>7</c:v>
                </c:pt>
                <c:pt idx="176">
                  <c:v>9</c:v>
                </c:pt>
                <c:pt idx="177">
                  <c:v>6</c:v>
                </c:pt>
                <c:pt idx="178">
                  <c:v>7</c:v>
                </c:pt>
                <c:pt idx="179">
                  <c:v>6</c:v>
                </c:pt>
                <c:pt idx="180">
                  <c:v>10</c:v>
                </c:pt>
                <c:pt idx="181">
                  <c:v>10</c:v>
                </c:pt>
                <c:pt idx="182">
                  <c:v>9</c:v>
                </c:pt>
                <c:pt idx="183">
                  <c:v>7</c:v>
                </c:pt>
                <c:pt idx="184">
                  <c:v>5</c:v>
                </c:pt>
                <c:pt idx="185">
                  <c:v>10</c:v>
                </c:pt>
                <c:pt idx="186">
                  <c:v>7</c:v>
                </c:pt>
                <c:pt idx="187">
                  <c:v>9</c:v>
                </c:pt>
                <c:pt idx="188">
                  <c:v>9</c:v>
                </c:pt>
                <c:pt idx="189">
                  <c:v>8</c:v>
                </c:pt>
                <c:pt idx="190">
                  <c:v>5</c:v>
                </c:pt>
                <c:pt idx="191">
                  <c:v>8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9</c:v>
                </c:pt>
                <c:pt idx="197">
                  <c:v>8</c:v>
                </c:pt>
                <c:pt idx="198">
                  <c:v>8</c:v>
                </c:pt>
                <c:pt idx="199">
                  <c:v>9</c:v>
                </c:pt>
              </c:numCache>
            </c:numRef>
          </c:yVal>
          <c:smooth val="1"/>
        </c:ser>
        <c:axId val="31060524"/>
        <c:axId val="15658349"/>
      </c:scatterChart>
      <c:valAx>
        <c:axId val="310605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Horas de redes sociales por 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658349"/>
        <c:crosses val="autoZero"/>
        <c:crossBetween val="midCat"/>
      </c:valAx>
      <c:valAx>
        <c:axId val="15658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Rendimiento académico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06052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1</xdr:col>
      <xdr:colOff>5085000</xdr:colOff>
      <xdr:row>42</xdr:row>
      <xdr:rowOff>149760</xdr:rowOff>
    </xdr:to>
    <xdr:graphicFrame>
      <xdr:nvGraphicFramePr>
        <xdr:cNvPr id="1" name="Chart 1"/>
        <xdr:cNvGraphicFramePr/>
      </xdr:nvGraphicFramePr>
      <xdr:xfrm>
        <a:off x="0" y="593532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2" t="n">
        <v>2</v>
      </c>
      <c r="B2" s="2" t="n">
        <v>9</v>
      </c>
      <c r="D2" s="0" t="s">
        <v>2</v>
      </c>
      <c r="E2" s="0" t="n">
        <f aca="false">MIN(A2:A201)</f>
        <v>1</v>
      </c>
    </row>
    <row r="3" customFormat="false" ht="14.25" hidden="false" customHeight="false" outlineLevel="0" collapsed="false">
      <c r="A3" s="3" t="n">
        <v>4</v>
      </c>
      <c r="B3" s="3" t="n">
        <v>8</v>
      </c>
      <c r="E3" s="0" t="n">
        <f aca="false">MAX(A2:A201)</f>
        <v>8</v>
      </c>
    </row>
    <row r="4" customFormat="false" ht="14.25" hidden="false" customHeight="false" outlineLevel="0" collapsed="false">
      <c r="A4" s="2" t="n">
        <v>3</v>
      </c>
      <c r="B4" s="2" t="n">
        <v>8</v>
      </c>
    </row>
    <row r="5" customFormat="false" ht="14.25" hidden="false" customHeight="false" outlineLevel="0" collapsed="false">
      <c r="A5" s="3" t="n">
        <v>2</v>
      </c>
      <c r="B5" s="3" t="n">
        <v>8</v>
      </c>
      <c r="E5" s="0" t="n">
        <f aca="false">COUNTIF(A2:A201,1)</f>
        <v>24</v>
      </c>
    </row>
    <row r="6" customFormat="false" ht="14.25" hidden="false" customHeight="false" outlineLevel="0" collapsed="false">
      <c r="A6" s="2" t="n">
        <v>7</v>
      </c>
      <c r="B6" s="2" t="n">
        <v>7</v>
      </c>
      <c r="E6" s="0" t="n">
        <f aca="false">COUNTIF(A2:A201,2)</f>
        <v>27</v>
      </c>
    </row>
    <row r="7" customFormat="false" ht="14.25" hidden="false" customHeight="false" outlineLevel="0" collapsed="false">
      <c r="A7" s="3" t="n">
        <v>4</v>
      </c>
      <c r="B7" s="3" t="n">
        <v>8</v>
      </c>
      <c r="E7" s="0" t="n">
        <f aca="false">COUNTIF(A2:A201,3)</f>
        <v>28</v>
      </c>
    </row>
    <row r="8" customFormat="false" ht="14.25" hidden="false" customHeight="false" outlineLevel="0" collapsed="false">
      <c r="A8" s="2" t="n">
        <v>1</v>
      </c>
      <c r="B8" s="2" t="n">
        <v>8</v>
      </c>
      <c r="E8" s="0" t="n">
        <f aca="false">COUNTIF(A2:A201,4)</f>
        <v>32</v>
      </c>
    </row>
    <row r="9" customFormat="false" ht="14.25" hidden="false" customHeight="false" outlineLevel="0" collapsed="false">
      <c r="A9" s="3" t="n">
        <v>7</v>
      </c>
      <c r="B9" s="3" t="n">
        <v>6</v>
      </c>
      <c r="E9" s="0" t="n">
        <f aca="false">COUNTIF(A2:A201,5)</f>
        <v>26</v>
      </c>
    </row>
    <row r="10" customFormat="false" ht="14.25" hidden="false" customHeight="false" outlineLevel="0" collapsed="false">
      <c r="A10" s="2" t="n">
        <v>4</v>
      </c>
      <c r="B10" s="2" t="n">
        <v>7</v>
      </c>
      <c r="E10" s="0" t="n">
        <f aca="false">COUNTIF(A2:A201,6)</f>
        <v>26</v>
      </c>
    </row>
    <row r="11" customFormat="false" ht="14.25" hidden="false" customHeight="false" outlineLevel="0" collapsed="false">
      <c r="A11" s="3" t="n">
        <v>1</v>
      </c>
      <c r="B11" s="3" t="n">
        <v>9</v>
      </c>
      <c r="E11" s="0" t="n">
        <f aca="false">COUNTIF(A2:A201,7)</f>
        <v>24</v>
      </c>
    </row>
    <row r="12" customFormat="false" ht="14.25" hidden="false" customHeight="false" outlineLevel="0" collapsed="false">
      <c r="A12" s="2" t="n">
        <v>3</v>
      </c>
      <c r="B12" s="2" t="n">
        <v>8</v>
      </c>
      <c r="E12" s="0" t="n">
        <f aca="false">COUNTIF(A2:A201,8)</f>
        <v>13</v>
      </c>
    </row>
    <row r="13" customFormat="false" ht="14.25" hidden="false" customHeight="false" outlineLevel="0" collapsed="false">
      <c r="A13" s="3" t="n">
        <v>3</v>
      </c>
      <c r="B13" s="3" t="n">
        <v>8</v>
      </c>
      <c r="E13" s="0" t="n">
        <f aca="false">COUNTIF(A2:A201,9)</f>
        <v>0</v>
      </c>
    </row>
    <row r="14" customFormat="false" ht="14.25" hidden="false" customHeight="false" outlineLevel="0" collapsed="false">
      <c r="A14" s="2" t="n">
        <v>4</v>
      </c>
      <c r="B14" s="2" t="n">
        <v>9</v>
      </c>
    </row>
    <row r="15" customFormat="false" ht="14.25" hidden="false" customHeight="false" outlineLevel="0" collapsed="false">
      <c r="A15" s="3" t="n">
        <v>2</v>
      </c>
      <c r="B15" s="3" t="n">
        <v>9</v>
      </c>
    </row>
    <row r="16" customFormat="false" ht="14.25" hidden="false" customHeight="false" outlineLevel="0" collapsed="false">
      <c r="A16" s="2" t="n">
        <v>7</v>
      </c>
      <c r="B16" s="2" t="n">
        <v>8</v>
      </c>
    </row>
    <row r="17" customFormat="false" ht="14.25" hidden="false" customHeight="false" outlineLevel="0" collapsed="false">
      <c r="A17" s="3" t="n">
        <v>5</v>
      </c>
      <c r="B17" s="3" t="n">
        <v>8</v>
      </c>
    </row>
    <row r="18" customFormat="false" ht="14.25" hidden="false" customHeight="false" outlineLevel="0" collapsed="false">
      <c r="A18" s="2" t="n">
        <v>1</v>
      </c>
      <c r="B18" s="2" t="n">
        <v>9</v>
      </c>
    </row>
    <row r="19" customFormat="false" ht="14.25" hidden="false" customHeight="false" outlineLevel="0" collapsed="false">
      <c r="A19" s="3" t="n">
        <v>7</v>
      </c>
      <c r="B19" s="3" t="n">
        <v>6</v>
      </c>
    </row>
    <row r="20" customFormat="false" ht="14.25" hidden="false" customHeight="false" outlineLevel="0" collapsed="false">
      <c r="A20" s="2" t="n">
        <v>2</v>
      </c>
      <c r="B20" s="2" t="n">
        <v>7</v>
      </c>
    </row>
    <row r="21" customFormat="false" ht="14.25" hidden="false" customHeight="false" outlineLevel="0" collapsed="false">
      <c r="A21" s="3" t="n">
        <v>6</v>
      </c>
      <c r="B21" s="3" t="n">
        <v>7</v>
      </c>
    </row>
    <row r="22" customFormat="false" ht="14.25" hidden="false" customHeight="false" outlineLevel="0" collapsed="false">
      <c r="A22" s="2" t="n">
        <v>4</v>
      </c>
      <c r="B22" s="2" t="n">
        <v>8</v>
      </c>
    </row>
    <row r="23" customFormat="false" ht="14.25" hidden="false" customHeight="false" outlineLevel="0" collapsed="false">
      <c r="A23" s="3" t="n">
        <v>4</v>
      </c>
      <c r="B23" s="3" t="n">
        <v>8</v>
      </c>
    </row>
    <row r="24" customFormat="false" ht="14.25" hidden="false" customHeight="false" outlineLevel="0" collapsed="false">
      <c r="A24" s="2" t="n">
        <v>5</v>
      </c>
      <c r="B24" s="2" t="n">
        <v>9</v>
      </c>
    </row>
    <row r="25" customFormat="false" ht="14.25" hidden="false" customHeight="false" outlineLevel="0" collapsed="false">
      <c r="A25" s="3" t="n">
        <v>2</v>
      </c>
      <c r="B25" s="3" t="n">
        <v>9</v>
      </c>
    </row>
    <row r="26" customFormat="false" ht="14.25" hidden="false" customHeight="false" outlineLevel="0" collapsed="false">
      <c r="A26" s="2" t="n">
        <v>7</v>
      </c>
      <c r="B26" s="2" t="n">
        <v>7</v>
      </c>
    </row>
    <row r="27" customFormat="false" ht="14.25" hidden="false" customHeight="false" outlineLevel="0" collapsed="false">
      <c r="A27" s="3" t="n">
        <v>6</v>
      </c>
      <c r="B27" s="3" t="n">
        <v>8</v>
      </c>
    </row>
    <row r="28" customFormat="false" ht="14.25" hidden="false" customHeight="false" outlineLevel="0" collapsed="false">
      <c r="A28" s="2" t="n">
        <v>3</v>
      </c>
      <c r="B28" s="2" t="n">
        <v>8</v>
      </c>
    </row>
    <row r="29" customFormat="false" ht="14.25" hidden="false" customHeight="false" outlineLevel="0" collapsed="false">
      <c r="A29" s="3" t="n">
        <v>5</v>
      </c>
      <c r="B29" s="3" t="n">
        <v>8</v>
      </c>
    </row>
    <row r="30" customFormat="false" ht="14.25" hidden="false" customHeight="false" outlineLevel="0" collapsed="false">
      <c r="A30" s="2" t="n">
        <v>2</v>
      </c>
      <c r="B30" s="2" t="n">
        <v>8</v>
      </c>
    </row>
    <row r="31" customFormat="false" ht="14.25" hidden="false" customHeight="false" outlineLevel="0" collapsed="false">
      <c r="A31" s="3" t="n">
        <v>4</v>
      </c>
      <c r="B31" s="3" t="n">
        <v>8</v>
      </c>
    </row>
    <row r="32" customFormat="false" ht="14.25" hidden="false" customHeight="false" outlineLevel="0" collapsed="false">
      <c r="A32" s="2" t="n">
        <v>3</v>
      </c>
      <c r="B32" s="2" t="n">
        <v>8</v>
      </c>
    </row>
    <row r="33" customFormat="false" ht="14.25" hidden="false" customHeight="false" outlineLevel="0" collapsed="false">
      <c r="A33" s="3" t="n">
        <v>4</v>
      </c>
      <c r="B33" s="3" t="n">
        <v>8</v>
      </c>
    </row>
    <row r="34" customFormat="false" ht="14.25" hidden="false" customHeight="false" outlineLevel="0" collapsed="false">
      <c r="A34" s="2" t="n">
        <v>6</v>
      </c>
      <c r="B34" s="2" t="n">
        <v>8</v>
      </c>
    </row>
    <row r="35" customFormat="false" ht="14.25" hidden="false" customHeight="false" outlineLevel="0" collapsed="false">
      <c r="A35" s="3" t="n">
        <v>4</v>
      </c>
      <c r="B35" s="3" t="n">
        <v>7</v>
      </c>
    </row>
    <row r="36" customFormat="false" ht="14.25" hidden="false" customHeight="false" outlineLevel="0" collapsed="false">
      <c r="A36" s="2" t="n">
        <v>1</v>
      </c>
      <c r="B36" s="2" t="n">
        <v>9</v>
      </c>
    </row>
    <row r="37" customFormat="false" ht="14.25" hidden="false" customHeight="false" outlineLevel="0" collapsed="false">
      <c r="A37" s="3" t="n">
        <v>2</v>
      </c>
      <c r="B37" s="3" t="n">
        <v>8</v>
      </c>
    </row>
    <row r="38" customFormat="false" ht="14.25" hidden="false" customHeight="false" outlineLevel="0" collapsed="false">
      <c r="A38" s="2" t="n">
        <v>4</v>
      </c>
      <c r="B38" s="2" t="n">
        <v>9</v>
      </c>
    </row>
    <row r="39" customFormat="false" ht="14.25" hidden="false" customHeight="false" outlineLevel="0" collapsed="false">
      <c r="A39" s="3" t="n">
        <v>6</v>
      </c>
      <c r="B39" s="3" t="n">
        <v>7</v>
      </c>
    </row>
    <row r="40" customFormat="false" ht="14.25" hidden="false" customHeight="false" outlineLevel="0" collapsed="false">
      <c r="A40" s="2" t="n">
        <v>4</v>
      </c>
      <c r="B40" s="2" t="n">
        <v>7</v>
      </c>
    </row>
    <row r="41" customFormat="false" ht="14.25" hidden="false" customHeight="false" outlineLevel="0" collapsed="false">
      <c r="A41" s="3" t="n">
        <v>8</v>
      </c>
      <c r="B41" s="3" t="n">
        <v>6</v>
      </c>
    </row>
    <row r="42" customFormat="false" ht="14.25" hidden="false" customHeight="false" outlineLevel="0" collapsed="false">
      <c r="A42" s="2" t="n">
        <v>3</v>
      </c>
      <c r="B42" s="2" t="n">
        <v>8</v>
      </c>
    </row>
    <row r="43" customFormat="false" ht="14.25" hidden="false" customHeight="false" outlineLevel="0" collapsed="false">
      <c r="A43" s="3" t="n">
        <v>5</v>
      </c>
      <c r="B43" s="3" t="n">
        <v>8</v>
      </c>
    </row>
    <row r="44" customFormat="false" ht="14.25" hidden="false" customHeight="false" outlineLevel="0" collapsed="false">
      <c r="A44" s="2" t="n">
        <v>7</v>
      </c>
      <c r="B44" s="2" t="n">
        <v>7</v>
      </c>
    </row>
    <row r="45" customFormat="false" ht="14.25" hidden="false" customHeight="false" outlineLevel="0" collapsed="false">
      <c r="A45" s="3" t="n">
        <v>4</v>
      </c>
      <c r="B45" s="3" t="n">
        <v>7</v>
      </c>
    </row>
    <row r="46" customFormat="false" ht="14.25" hidden="false" customHeight="false" outlineLevel="0" collapsed="false">
      <c r="A46" s="2" t="n">
        <v>3</v>
      </c>
      <c r="B46" s="2" t="n">
        <v>8</v>
      </c>
    </row>
    <row r="47" customFormat="false" ht="14.25" hidden="false" customHeight="false" outlineLevel="0" collapsed="false">
      <c r="A47" s="3" t="n">
        <v>1</v>
      </c>
      <c r="B47" s="3" t="n">
        <v>9</v>
      </c>
    </row>
    <row r="48" customFormat="false" ht="14.25" hidden="false" customHeight="false" outlineLevel="0" collapsed="false">
      <c r="A48" s="2" t="n">
        <v>2</v>
      </c>
      <c r="B48" s="2" t="n">
        <v>9</v>
      </c>
    </row>
    <row r="49" customFormat="false" ht="14.25" hidden="false" customHeight="false" outlineLevel="0" collapsed="false">
      <c r="A49" s="3" t="n">
        <v>7</v>
      </c>
      <c r="B49" s="3" t="n">
        <v>7</v>
      </c>
    </row>
    <row r="50" customFormat="false" ht="14.25" hidden="false" customHeight="false" outlineLevel="0" collapsed="false">
      <c r="A50" s="2" t="n">
        <v>2</v>
      </c>
      <c r="B50" s="2" t="n">
        <v>8</v>
      </c>
    </row>
    <row r="51" customFormat="false" ht="14.25" hidden="false" customHeight="false" outlineLevel="0" collapsed="false">
      <c r="A51" s="3" t="n">
        <v>8</v>
      </c>
      <c r="B51" s="3" t="n">
        <v>7</v>
      </c>
    </row>
    <row r="52" customFormat="false" ht="14.25" hidden="false" customHeight="false" outlineLevel="0" collapsed="false">
      <c r="A52" s="2" t="n">
        <v>5</v>
      </c>
      <c r="B52" s="2" t="n">
        <v>9</v>
      </c>
    </row>
    <row r="53" customFormat="false" ht="14.25" hidden="false" customHeight="false" outlineLevel="0" collapsed="false">
      <c r="A53" s="3" t="n">
        <v>1</v>
      </c>
      <c r="B53" s="3" t="n">
        <v>9</v>
      </c>
    </row>
    <row r="54" customFormat="false" ht="14.25" hidden="false" customHeight="false" outlineLevel="0" collapsed="false">
      <c r="A54" s="2" t="n">
        <v>2</v>
      </c>
      <c r="B54" s="2" t="n">
        <v>8</v>
      </c>
    </row>
    <row r="55" customFormat="false" ht="14.25" hidden="false" customHeight="false" outlineLevel="0" collapsed="false">
      <c r="A55" s="3" t="n">
        <v>5</v>
      </c>
      <c r="B55" s="3" t="n">
        <v>7</v>
      </c>
    </row>
    <row r="56" customFormat="false" ht="14.25" hidden="false" customHeight="false" outlineLevel="0" collapsed="false">
      <c r="A56" s="2" t="n">
        <v>6</v>
      </c>
      <c r="B56" s="2" t="n">
        <v>8</v>
      </c>
    </row>
    <row r="57" customFormat="false" ht="14.25" hidden="false" customHeight="false" outlineLevel="0" collapsed="false">
      <c r="A57" s="3" t="n">
        <v>8</v>
      </c>
      <c r="B57" s="3" t="n">
        <v>7</v>
      </c>
    </row>
    <row r="58" customFormat="false" ht="14.25" hidden="false" customHeight="false" outlineLevel="0" collapsed="false">
      <c r="A58" s="2" t="n">
        <v>1</v>
      </c>
      <c r="B58" s="2" t="n">
        <v>10</v>
      </c>
    </row>
    <row r="59" customFormat="false" ht="14.25" hidden="false" customHeight="false" outlineLevel="0" collapsed="false">
      <c r="A59" s="3" t="n">
        <v>5</v>
      </c>
      <c r="B59" s="3" t="n">
        <v>7</v>
      </c>
    </row>
    <row r="60" customFormat="false" ht="14.25" hidden="false" customHeight="false" outlineLevel="0" collapsed="false">
      <c r="A60" s="2" t="n">
        <v>3</v>
      </c>
      <c r="B60" s="2" t="n">
        <v>8</v>
      </c>
    </row>
    <row r="61" customFormat="false" ht="14.25" hidden="false" customHeight="false" outlineLevel="0" collapsed="false">
      <c r="A61" s="3" t="n">
        <v>5</v>
      </c>
      <c r="B61" s="3" t="n">
        <v>7</v>
      </c>
    </row>
    <row r="62" customFormat="false" ht="14.25" hidden="false" customHeight="false" outlineLevel="0" collapsed="false">
      <c r="A62" s="2" t="n">
        <v>4</v>
      </c>
      <c r="B62" s="2" t="n">
        <v>9</v>
      </c>
    </row>
    <row r="63" customFormat="false" ht="14.25" hidden="false" customHeight="false" outlineLevel="0" collapsed="false">
      <c r="A63" s="3" t="n">
        <v>1</v>
      </c>
      <c r="B63" s="3" t="n">
        <v>10</v>
      </c>
    </row>
    <row r="64" customFormat="false" ht="14.25" hidden="false" customHeight="false" outlineLevel="0" collapsed="false">
      <c r="A64" s="2" t="n">
        <v>6</v>
      </c>
      <c r="B64" s="2" t="n">
        <v>7</v>
      </c>
    </row>
    <row r="65" customFormat="false" ht="14.25" hidden="false" customHeight="false" outlineLevel="0" collapsed="false">
      <c r="A65" s="3" t="n">
        <v>6</v>
      </c>
      <c r="B65" s="3" t="n">
        <v>7</v>
      </c>
    </row>
    <row r="66" customFormat="false" ht="14.25" hidden="false" customHeight="false" outlineLevel="0" collapsed="false">
      <c r="A66" s="2" t="n">
        <v>5</v>
      </c>
      <c r="B66" s="2" t="n">
        <v>8</v>
      </c>
    </row>
    <row r="67" customFormat="false" ht="14.25" hidden="false" customHeight="false" outlineLevel="0" collapsed="false">
      <c r="A67" s="3" t="n">
        <v>2</v>
      </c>
      <c r="B67" s="3" t="n">
        <v>9</v>
      </c>
    </row>
    <row r="68" customFormat="false" ht="14.25" hidden="false" customHeight="false" outlineLevel="0" collapsed="false">
      <c r="A68" s="2" t="n">
        <v>2</v>
      </c>
      <c r="B68" s="2" t="n">
        <v>9</v>
      </c>
    </row>
    <row r="69" customFormat="false" ht="14.25" hidden="false" customHeight="false" outlineLevel="0" collapsed="false">
      <c r="A69" s="3" t="n">
        <v>3</v>
      </c>
      <c r="B69" s="3" t="n">
        <v>7</v>
      </c>
    </row>
    <row r="70" customFormat="false" ht="14.25" hidden="false" customHeight="false" outlineLevel="0" collapsed="false">
      <c r="A70" s="2" t="n">
        <v>3</v>
      </c>
      <c r="B70" s="2" t="n">
        <v>7</v>
      </c>
    </row>
    <row r="71" customFormat="false" ht="14.25" hidden="false" customHeight="false" outlineLevel="0" collapsed="false">
      <c r="A71" s="3" t="n">
        <v>3</v>
      </c>
      <c r="B71" s="3" t="n">
        <v>7</v>
      </c>
    </row>
    <row r="72" customFormat="false" ht="14.25" hidden="false" customHeight="false" outlineLevel="0" collapsed="false">
      <c r="A72" s="2" t="n">
        <v>5</v>
      </c>
      <c r="B72" s="2" t="n">
        <v>6</v>
      </c>
    </row>
    <row r="73" customFormat="false" ht="14.25" hidden="false" customHeight="false" outlineLevel="0" collapsed="false">
      <c r="A73" s="3" t="n">
        <v>4</v>
      </c>
      <c r="B73" s="3" t="n">
        <v>8</v>
      </c>
    </row>
    <row r="74" customFormat="false" ht="14.25" hidden="false" customHeight="false" outlineLevel="0" collapsed="false">
      <c r="A74" s="2" t="n">
        <v>4</v>
      </c>
      <c r="B74" s="2" t="n">
        <v>8</v>
      </c>
    </row>
    <row r="75" customFormat="false" ht="14.25" hidden="false" customHeight="false" outlineLevel="0" collapsed="false">
      <c r="A75" s="3" t="n">
        <v>6</v>
      </c>
      <c r="B75" s="3" t="n">
        <v>6</v>
      </c>
    </row>
    <row r="76" customFormat="false" ht="14.25" hidden="false" customHeight="false" outlineLevel="0" collapsed="false">
      <c r="A76" s="2" t="n">
        <v>8</v>
      </c>
      <c r="B76" s="2" t="n">
        <v>7</v>
      </c>
    </row>
    <row r="77" customFormat="false" ht="14.25" hidden="false" customHeight="false" outlineLevel="0" collapsed="false">
      <c r="A77" s="3" t="n">
        <v>4</v>
      </c>
      <c r="B77" s="3" t="n">
        <v>7</v>
      </c>
    </row>
    <row r="78" customFormat="false" ht="14.25" hidden="false" customHeight="false" outlineLevel="0" collapsed="false">
      <c r="A78" s="2" t="n">
        <v>4</v>
      </c>
      <c r="B78" s="2" t="n">
        <v>8</v>
      </c>
    </row>
    <row r="79" customFormat="false" ht="14.25" hidden="false" customHeight="false" outlineLevel="0" collapsed="false">
      <c r="A79" s="3" t="n">
        <v>4</v>
      </c>
      <c r="B79" s="3" t="n">
        <v>8</v>
      </c>
    </row>
    <row r="80" customFormat="false" ht="14.25" hidden="false" customHeight="false" outlineLevel="0" collapsed="false">
      <c r="A80" s="2" t="n">
        <v>4</v>
      </c>
      <c r="B80" s="2" t="n">
        <v>9</v>
      </c>
    </row>
    <row r="81" customFormat="false" ht="14.25" hidden="false" customHeight="false" outlineLevel="0" collapsed="false">
      <c r="A81" s="3" t="n">
        <v>1</v>
      </c>
      <c r="B81" s="3" t="n">
        <v>9</v>
      </c>
    </row>
    <row r="82" customFormat="false" ht="14.25" hidden="false" customHeight="false" outlineLevel="0" collapsed="false">
      <c r="A82" s="2" t="n">
        <v>4</v>
      </c>
      <c r="B82" s="2" t="n">
        <v>8</v>
      </c>
    </row>
    <row r="83" customFormat="false" ht="14.25" hidden="false" customHeight="false" outlineLevel="0" collapsed="false">
      <c r="A83" s="3" t="n">
        <v>6</v>
      </c>
      <c r="B83" s="3" t="n">
        <v>7</v>
      </c>
    </row>
    <row r="84" customFormat="false" ht="14.25" hidden="false" customHeight="false" outlineLevel="0" collapsed="false">
      <c r="A84" s="2" t="n">
        <v>2</v>
      </c>
      <c r="B84" s="2" t="n">
        <v>8</v>
      </c>
    </row>
    <row r="85" customFormat="false" ht="14.25" hidden="false" customHeight="false" outlineLevel="0" collapsed="false">
      <c r="A85" s="3" t="n">
        <v>8</v>
      </c>
      <c r="B85" s="3" t="n">
        <v>6</v>
      </c>
    </row>
    <row r="86" customFormat="false" ht="14.25" hidden="false" customHeight="false" outlineLevel="0" collapsed="false">
      <c r="A86" s="2" t="n">
        <v>4</v>
      </c>
      <c r="B86" s="2" t="n">
        <v>7</v>
      </c>
    </row>
    <row r="87" customFormat="false" ht="14.25" hidden="false" customHeight="false" outlineLevel="0" collapsed="false">
      <c r="A87" s="3" t="n">
        <v>8</v>
      </c>
      <c r="B87" s="3" t="n">
        <v>6</v>
      </c>
    </row>
    <row r="88" customFormat="false" ht="14.25" hidden="false" customHeight="false" outlineLevel="0" collapsed="false">
      <c r="A88" s="2" t="n">
        <v>4</v>
      </c>
      <c r="B88" s="2" t="n">
        <v>8</v>
      </c>
    </row>
    <row r="89" customFormat="false" ht="14.25" hidden="false" customHeight="false" outlineLevel="0" collapsed="false">
      <c r="A89" s="3" t="n">
        <v>4</v>
      </c>
      <c r="B89" s="3" t="n">
        <v>6</v>
      </c>
    </row>
    <row r="90" customFormat="false" ht="14.25" hidden="false" customHeight="false" outlineLevel="0" collapsed="false">
      <c r="A90" s="2" t="n">
        <v>2</v>
      </c>
      <c r="B90" s="2" t="n">
        <v>9</v>
      </c>
    </row>
    <row r="91" customFormat="false" ht="14.25" hidden="false" customHeight="false" outlineLevel="0" collapsed="false">
      <c r="A91" s="3" t="n">
        <v>7</v>
      </c>
      <c r="B91" s="3" t="n">
        <v>7</v>
      </c>
    </row>
    <row r="92" customFormat="false" ht="14.25" hidden="false" customHeight="false" outlineLevel="0" collapsed="false">
      <c r="A92" s="2" t="n">
        <v>7</v>
      </c>
      <c r="B92" s="2" t="n">
        <v>5</v>
      </c>
    </row>
    <row r="93" customFormat="false" ht="14.25" hidden="false" customHeight="false" outlineLevel="0" collapsed="false">
      <c r="A93" s="3" t="n">
        <v>2</v>
      </c>
      <c r="B93" s="3" t="n">
        <v>9</v>
      </c>
    </row>
    <row r="94" customFormat="false" ht="14.25" hidden="false" customHeight="false" outlineLevel="0" collapsed="false">
      <c r="A94" s="2" t="n">
        <v>1</v>
      </c>
      <c r="B94" s="2" t="n">
        <v>9</v>
      </c>
    </row>
    <row r="95" customFormat="false" ht="14.25" hidden="false" customHeight="false" outlineLevel="0" collapsed="false">
      <c r="A95" s="3" t="n">
        <v>2</v>
      </c>
      <c r="B95" s="3" t="n">
        <v>9</v>
      </c>
    </row>
    <row r="96" customFormat="false" ht="14.25" hidden="false" customHeight="false" outlineLevel="0" collapsed="false">
      <c r="A96" s="2" t="n">
        <v>4</v>
      </c>
      <c r="B96" s="2" t="n">
        <v>8</v>
      </c>
    </row>
    <row r="97" customFormat="false" ht="14.25" hidden="false" customHeight="false" outlineLevel="0" collapsed="false">
      <c r="A97" s="3" t="n">
        <v>3</v>
      </c>
      <c r="B97" s="3" t="n">
        <v>9</v>
      </c>
    </row>
    <row r="98" customFormat="false" ht="14.25" hidden="false" customHeight="false" outlineLevel="0" collapsed="false">
      <c r="A98" s="2" t="n">
        <v>7</v>
      </c>
      <c r="B98" s="2" t="n">
        <v>7</v>
      </c>
    </row>
    <row r="99" customFormat="false" ht="14.25" hidden="false" customHeight="false" outlineLevel="0" collapsed="false">
      <c r="A99" s="3" t="n">
        <v>2</v>
      </c>
      <c r="B99" s="3" t="n">
        <v>10</v>
      </c>
    </row>
    <row r="100" customFormat="false" ht="14.25" hidden="false" customHeight="false" outlineLevel="0" collapsed="false">
      <c r="A100" s="2" t="n">
        <v>8</v>
      </c>
      <c r="B100" s="2" t="n">
        <v>7</v>
      </c>
    </row>
    <row r="101" customFormat="false" ht="14.25" hidden="false" customHeight="false" outlineLevel="0" collapsed="false">
      <c r="A101" s="3" t="n">
        <v>2</v>
      </c>
      <c r="B101" s="3" t="n">
        <v>7</v>
      </c>
    </row>
    <row r="102" customFormat="false" ht="14.25" hidden="false" customHeight="false" outlineLevel="0" collapsed="false">
      <c r="A102" s="2" t="n">
        <v>1</v>
      </c>
      <c r="B102" s="2" t="n">
        <v>9</v>
      </c>
    </row>
    <row r="103" customFormat="false" ht="14.25" hidden="false" customHeight="false" outlineLevel="0" collapsed="false">
      <c r="A103" s="3" t="n">
        <v>1</v>
      </c>
      <c r="B103" s="3" t="n">
        <v>8</v>
      </c>
    </row>
    <row r="104" customFormat="false" ht="14.25" hidden="false" customHeight="false" outlineLevel="0" collapsed="false">
      <c r="A104" s="2" t="n">
        <v>2</v>
      </c>
      <c r="B104" s="2" t="n">
        <v>10</v>
      </c>
    </row>
    <row r="105" customFormat="false" ht="14.25" hidden="false" customHeight="false" outlineLevel="0" collapsed="false">
      <c r="A105" s="3" t="n">
        <v>3</v>
      </c>
      <c r="B105" s="3" t="n">
        <v>8</v>
      </c>
    </row>
    <row r="106" customFormat="false" ht="14.25" hidden="false" customHeight="false" outlineLevel="0" collapsed="false">
      <c r="A106" s="2" t="n">
        <v>7</v>
      </c>
      <c r="B106" s="2" t="n">
        <v>6</v>
      </c>
    </row>
    <row r="107" customFormat="false" ht="14.25" hidden="false" customHeight="false" outlineLevel="0" collapsed="false">
      <c r="A107" s="3" t="n">
        <v>7</v>
      </c>
      <c r="B107" s="3" t="n">
        <v>7</v>
      </c>
    </row>
    <row r="108" customFormat="false" ht="14.25" hidden="false" customHeight="false" outlineLevel="0" collapsed="false">
      <c r="A108" s="2" t="n">
        <v>1</v>
      </c>
      <c r="B108" s="2" t="n">
        <v>9</v>
      </c>
    </row>
    <row r="109" customFormat="false" ht="14.25" hidden="false" customHeight="false" outlineLevel="0" collapsed="false">
      <c r="A109" s="3" t="n">
        <v>7</v>
      </c>
      <c r="B109" s="3" t="n">
        <v>7</v>
      </c>
    </row>
    <row r="110" customFormat="false" ht="14.25" hidden="false" customHeight="false" outlineLevel="0" collapsed="false">
      <c r="A110" s="2" t="n">
        <v>5</v>
      </c>
      <c r="B110" s="2" t="n">
        <v>9</v>
      </c>
    </row>
    <row r="111" customFormat="false" ht="14.25" hidden="false" customHeight="false" outlineLevel="0" collapsed="false">
      <c r="A111" s="3" t="n">
        <v>5</v>
      </c>
      <c r="B111" s="3" t="n">
        <v>7</v>
      </c>
    </row>
    <row r="112" customFormat="false" ht="14.25" hidden="false" customHeight="false" outlineLevel="0" collapsed="false">
      <c r="A112" s="2" t="n">
        <v>7</v>
      </c>
      <c r="B112" s="2" t="n">
        <v>6</v>
      </c>
    </row>
    <row r="113" customFormat="false" ht="14.25" hidden="false" customHeight="false" outlineLevel="0" collapsed="false">
      <c r="A113" s="3" t="n">
        <v>8</v>
      </c>
      <c r="B113" s="3" t="n">
        <v>5</v>
      </c>
    </row>
    <row r="114" customFormat="false" ht="14.25" hidden="false" customHeight="false" outlineLevel="0" collapsed="false">
      <c r="A114" s="2" t="n">
        <v>3</v>
      </c>
      <c r="B114" s="2" t="n">
        <v>9</v>
      </c>
    </row>
    <row r="115" customFormat="false" ht="14.25" hidden="false" customHeight="false" outlineLevel="0" collapsed="false">
      <c r="A115" s="3" t="n">
        <v>1</v>
      </c>
      <c r="B115" s="3" t="n">
        <v>10</v>
      </c>
    </row>
    <row r="116" customFormat="false" ht="14.25" hidden="false" customHeight="false" outlineLevel="0" collapsed="false">
      <c r="A116" s="2" t="n">
        <v>1</v>
      </c>
      <c r="B116" s="2" t="n">
        <v>9</v>
      </c>
    </row>
    <row r="117" customFormat="false" ht="14.25" hidden="false" customHeight="false" outlineLevel="0" collapsed="false">
      <c r="A117" s="3" t="n">
        <v>8</v>
      </c>
      <c r="B117" s="3" t="n">
        <v>6</v>
      </c>
    </row>
    <row r="118" customFormat="false" ht="14.25" hidden="false" customHeight="false" outlineLevel="0" collapsed="false">
      <c r="A118" s="2" t="n">
        <v>3</v>
      </c>
      <c r="B118" s="2" t="n">
        <v>9</v>
      </c>
    </row>
    <row r="119" customFormat="false" ht="14.25" hidden="false" customHeight="false" outlineLevel="0" collapsed="false">
      <c r="A119" s="3" t="n">
        <v>3</v>
      </c>
      <c r="B119" s="3" t="n">
        <v>9</v>
      </c>
    </row>
    <row r="120" customFormat="false" ht="14.25" hidden="false" customHeight="false" outlineLevel="0" collapsed="false">
      <c r="A120" s="2" t="n">
        <v>2</v>
      </c>
      <c r="B120" s="2" t="n">
        <v>8</v>
      </c>
    </row>
    <row r="121" customFormat="false" ht="14.25" hidden="false" customHeight="false" outlineLevel="0" collapsed="false">
      <c r="A121" s="3" t="n">
        <v>4</v>
      </c>
      <c r="B121" s="3" t="n">
        <v>7</v>
      </c>
    </row>
    <row r="122" customFormat="false" ht="14.25" hidden="false" customHeight="false" outlineLevel="0" collapsed="false">
      <c r="A122" s="2" t="n">
        <v>7</v>
      </c>
      <c r="B122" s="2" t="n">
        <v>8</v>
      </c>
    </row>
    <row r="123" customFormat="false" ht="14.25" hidden="false" customHeight="false" outlineLevel="0" collapsed="false">
      <c r="A123" s="3" t="n">
        <v>4</v>
      </c>
      <c r="B123" s="3" t="n">
        <v>9</v>
      </c>
    </row>
    <row r="124" customFormat="false" ht="14.25" hidden="false" customHeight="false" outlineLevel="0" collapsed="false">
      <c r="A124" s="2" t="n">
        <v>1</v>
      </c>
      <c r="B124" s="2" t="n">
        <v>8</v>
      </c>
    </row>
    <row r="125" customFormat="false" ht="14.25" hidden="false" customHeight="false" outlineLevel="0" collapsed="false">
      <c r="A125" s="3" t="n">
        <v>6</v>
      </c>
      <c r="B125" s="3" t="n">
        <v>7</v>
      </c>
    </row>
    <row r="126" customFormat="false" ht="14.25" hidden="false" customHeight="false" outlineLevel="0" collapsed="false">
      <c r="A126" s="2" t="n">
        <v>5</v>
      </c>
      <c r="B126" s="2" t="n">
        <v>8</v>
      </c>
    </row>
    <row r="127" customFormat="false" ht="14.25" hidden="false" customHeight="false" outlineLevel="0" collapsed="false">
      <c r="A127" s="3" t="n">
        <v>4</v>
      </c>
      <c r="B127" s="3" t="n">
        <v>9</v>
      </c>
    </row>
    <row r="128" customFormat="false" ht="14.25" hidden="false" customHeight="false" outlineLevel="0" collapsed="false">
      <c r="A128" s="2" t="n">
        <v>5</v>
      </c>
      <c r="B128" s="2" t="n">
        <v>7</v>
      </c>
    </row>
    <row r="129" customFormat="false" ht="14.25" hidden="false" customHeight="false" outlineLevel="0" collapsed="false">
      <c r="A129" s="3" t="n">
        <v>5</v>
      </c>
      <c r="B129" s="3" t="n">
        <v>8</v>
      </c>
    </row>
    <row r="130" customFormat="false" ht="14.25" hidden="false" customHeight="false" outlineLevel="0" collapsed="false">
      <c r="A130" s="2" t="n">
        <v>8</v>
      </c>
      <c r="B130" s="2" t="n">
        <v>6</v>
      </c>
    </row>
    <row r="131" customFormat="false" ht="14.25" hidden="false" customHeight="false" outlineLevel="0" collapsed="false">
      <c r="A131" s="3" t="n">
        <v>2</v>
      </c>
      <c r="B131" s="3" t="n">
        <v>10</v>
      </c>
    </row>
    <row r="132" customFormat="false" ht="14.25" hidden="false" customHeight="false" outlineLevel="0" collapsed="false">
      <c r="A132" s="2" t="n">
        <v>1</v>
      </c>
      <c r="B132" s="2" t="n">
        <v>6</v>
      </c>
    </row>
    <row r="133" customFormat="false" ht="14.25" hidden="false" customHeight="false" outlineLevel="0" collapsed="false">
      <c r="A133" s="3" t="n">
        <v>2</v>
      </c>
      <c r="B133" s="3" t="n">
        <v>9</v>
      </c>
    </row>
    <row r="134" customFormat="false" ht="14.25" hidden="false" customHeight="false" outlineLevel="0" collapsed="false">
      <c r="A134" s="2" t="n">
        <v>2</v>
      </c>
      <c r="B134" s="2" t="n">
        <v>8</v>
      </c>
    </row>
    <row r="135" customFormat="false" ht="14.25" hidden="false" customHeight="false" outlineLevel="0" collapsed="false">
      <c r="A135" s="3" t="n">
        <v>3</v>
      </c>
      <c r="B135" s="3" t="n">
        <v>8</v>
      </c>
    </row>
    <row r="136" customFormat="false" ht="14.25" hidden="false" customHeight="false" outlineLevel="0" collapsed="false">
      <c r="A136" s="2" t="n">
        <v>6</v>
      </c>
      <c r="B136" s="2" t="n">
        <v>8</v>
      </c>
    </row>
    <row r="137" customFormat="false" ht="14.25" hidden="false" customHeight="false" outlineLevel="0" collapsed="false">
      <c r="A137" s="3" t="n">
        <v>6</v>
      </c>
      <c r="B137" s="3" t="n">
        <v>6</v>
      </c>
    </row>
    <row r="138" customFormat="false" ht="14.25" hidden="false" customHeight="false" outlineLevel="0" collapsed="false">
      <c r="A138" s="2" t="n">
        <v>5</v>
      </c>
      <c r="B138" s="2" t="n">
        <v>8</v>
      </c>
    </row>
    <row r="139" customFormat="false" ht="14.25" hidden="false" customHeight="false" outlineLevel="0" collapsed="false">
      <c r="A139" s="3" t="n">
        <v>5</v>
      </c>
      <c r="B139" s="3" t="n">
        <v>9</v>
      </c>
    </row>
    <row r="140" customFormat="false" ht="14.25" hidden="false" customHeight="false" outlineLevel="0" collapsed="false">
      <c r="A140" s="2" t="n">
        <v>1</v>
      </c>
      <c r="B140" s="2" t="n">
        <v>9</v>
      </c>
    </row>
    <row r="141" customFormat="false" ht="14.25" hidden="false" customHeight="false" outlineLevel="0" collapsed="false">
      <c r="A141" s="3" t="n">
        <v>2</v>
      </c>
      <c r="B141" s="3" t="n">
        <v>8</v>
      </c>
    </row>
    <row r="142" customFormat="false" ht="14.25" hidden="false" customHeight="false" outlineLevel="0" collapsed="false">
      <c r="A142" s="2" t="n">
        <v>3</v>
      </c>
      <c r="B142" s="2" t="n">
        <v>8</v>
      </c>
    </row>
    <row r="143" customFormat="false" ht="14.25" hidden="false" customHeight="false" outlineLevel="0" collapsed="false">
      <c r="A143" s="3" t="n">
        <v>3</v>
      </c>
      <c r="B143" s="3" t="n">
        <v>10</v>
      </c>
    </row>
    <row r="144" customFormat="false" ht="14.25" hidden="false" customHeight="false" outlineLevel="0" collapsed="false">
      <c r="A144" s="2" t="n">
        <v>5</v>
      </c>
      <c r="B144" s="2" t="n">
        <v>7</v>
      </c>
    </row>
    <row r="145" customFormat="false" ht="14.25" hidden="false" customHeight="false" outlineLevel="0" collapsed="false">
      <c r="A145" s="3" t="n">
        <v>6</v>
      </c>
      <c r="B145" s="3" t="n">
        <v>8</v>
      </c>
    </row>
    <row r="146" customFormat="false" ht="14.25" hidden="false" customHeight="false" outlineLevel="0" collapsed="false">
      <c r="A146" s="2" t="n">
        <v>4</v>
      </c>
      <c r="B146" s="2" t="n">
        <v>7</v>
      </c>
    </row>
    <row r="147" customFormat="false" ht="14.25" hidden="false" customHeight="false" outlineLevel="0" collapsed="false">
      <c r="A147" s="3" t="n">
        <v>8</v>
      </c>
      <c r="B147" s="3" t="n">
        <v>5</v>
      </c>
    </row>
    <row r="148" customFormat="false" ht="14.25" hidden="false" customHeight="false" outlineLevel="0" collapsed="false">
      <c r="A148" s="2" t="n">
        <v>5</v>
      </c>
      <c r="B148" s="2" t="n">
        <v>9</v>
      </c>
    </row>
    <row r="149" customFormat="false" ht="14.25" hidden="false" customHeight="false" outlineLevel="0" collapsed="false">
      <c r="A149" s="3" t="n">
        <v>2</v>
      </c>
      <c r="B149" s="3" t="n">
        <v>8</v>
      </c>
    </row>
    <row r="150" customFormat="false" ht="14.25" hidden="false" customHeight="false" outlineLevel="0" collapsed="false">
      <c r="A150" s="2" t="n">
        <v>7</v>
      </c>
      <c r="B150" s="2" t="n">
        <v>7</v>
      </c>
    </row>
    <row r="151" customFormat="false" ht="14.25" hidden="false" customHeight="false" outlineLevel="0" collapsed="false">
      <c r="A151" s="3" t="n">
        <v>6</v>
      </c>
      <c r="B151" s="3" t="n">
        <v>7</v>
      </c>
    </row>
    <row r="152" customFormat="false" ht="14.25" hidden="false" customHeight="false" outlineLevel="0" collapsed="false">
      <c r="A152" s="2" t="n">
        <v>3</v>
      </c>
      <c r="B152" s="2" t="n">
        <v>8</v>
      </c>
    </row>
    <row r="153" customFormat="false" ht="14.25" hidden="false" customHeight="false" outlineLevel="0" collapsed="false">
      <c r="A153" s="3" t="n">
        <v>8</v>
      </c>
      <c r="B153" s="3" t="n">
        <v>6</v>
      </c>
    </row>
    <row r="154" customFormat="false" ht="14.25" hidden="false" customHeight="false" outlineLevel="0" collapsed="false">
      <c r="A154" s="2" t="n">
        <v>7</v>
      </c>
      <c r="B154" s="2" t="n">
        <v>6</v>
      </c>
    </row>
    <row r="155" customFormat="false" ht="14.25" hidden="false" customHeight="false" outlineLevel="0" collapsed="false">
      <c r="A155" s="3" t="n">
        <v>3</v>
      </c>
      <c r="B155" s="3" t="n">
        <v>8</v>
      </c>
    </row>
    <row r="156" customFormat="false" ht="14.25" hidden="false" customHeight="false" outlineLevel="0" collapsed="false">
      <c r="A156" s="2" t="n">
        <v>1</v>
      </c>
      <c r="B156" s="2" t="n">
        <v>10</v>
      </c>
    </row>
    <row r="157" customFormat="false" ht="14.25" hidden="false" customHeight="false" outlineLevel="0" collapsed="false">
      <c r="A157" s="3" t="n">
        <v>3</v>
      </c>
      <c r="B157" s="3" t="n">
        <v>7</v>
      </c>
    </row>
    <row r="158" customFormat="false" ht="14.25" hidden="false" customHeight="false" outlineLevel="0" collapsed="false">
      <c r="A158" s="2" t="n">
        <v>7</v>
      </c>
      <c r="B158" s="2" t="n">
        <v>7</v>
      </c>
    </row>
    <row r="159" customFormat="false" ht="14.25" hidden="false" customHeight="false" outlineLevel="0" collapsed="false">
      <c r="A159" s="3" t="n">
        <v>1</v>
      </c>
      <c r="B159" s="3" t="n">
        <v>10</v>
      </c>
    </row>
    <row r="160" customFormat="false" ht="14.25" hidden="false" customHeight="false" outlineLevel="0" collapsed="false">
      <c r="A160" s="2" t="n">
        <v>6</v>
      </c>
      <c r="B160" s="2" t="n">
        <v>7</v>
      </c>
    </row>
    <row r="161" customFormat="false" ht="14.25" hidden="false" customHeight="false" outlineLevel="0" collapsed="false">
      <c r="A161" s="3" t="n">
        <v>2</v>
      </c>
      <c r="B161" s="3" t="n">
        <v>9</v>
      </c>
    </row>
    <row r="162" customFormat="false" ht="14.25" hidden="false" customHeight="false" outlineLevel="0" collapsed="false">
      <c r="A162" s="2" t="n">
        <v>6</v>
      </c>
      <c r="B162" s="2" t="n">
        <v>7</v>
      </c>
    </row>
    <row r="163" customFormat="false" ht="14.25" hidden="false" customHeight="false" outlineLevel="0" collapsed="false">
      <c r="A163" s="3" t="n">
        <v>7</v>
      </c>
      <c r="B163" s="3" t="n">
        <v>5</v>
      </c>
    </row>
    <row r="164" customFormat="false" ht="14.25" hidden="false" customHeight="false" outlineLevel="0" collapsed="false">
      <c r="A164" s="2" t="n">
        <v>3</v>
      </c>
      <c r="B164" s="2" t="n">
        <v>9</v>
      </c>
    </row>
    <row r="165" customFormat="false" ht="14.25" hidden="false" customHeight="false" outlineLevel="0" collapsed="false">
      <c r="A165" s="3" t="n">
        <v>3</v>
      </c>
      <c r="B165" s="3" t="n">
        <v>8</v>
      </c>
    </row>
    <row r="166" customFormat="false" ht="14.25" hidden="false" customHeight="false" outlineLevel="0" collapsed="false">
      <c r="A166" s="2" t="n">
        <v>3</v>
      </c>
      <c r="B166" s="2" t="n">
        <v>8</v>
      </c>
    </row>
    <row r="167" customFormat="false" ht="14.25" hidden="false" customHeight="false" outlineLevel="0" collapsed="false">
      <c r="A167" s="3" t="n">
        <v>6</v>
      </c>
      <c r="B167" s="3" t="n">
        <v>7</v>
      </c>
    </row>
    <row r="168" customFormat="false" ht="14.25" hidden="false" customHeight="false" outlineLevel="0" collapsed="false">
      <c r="A168" s="2" t="n">
        <v>7</v>
      </c>
      <c r="B168" s="2" t="n">
        <v>7</v>
      </c>
    </row>
    <row r="169" customFormat="false" ht="14.25" hidden="false" customHeight="false" outlineLevel="0" collapsed="false">
      <c r="A169" s="3" t="n">
        <v>4</v>
      </c>
      <c r="B169" s="3" t="n">
        <v>6</v>
      </c>
    </row>
    <row r="170" customFormat="false" ht="14.25" hidden="false" customHeight="false" outlineLevel="0" collapsed="false">
      <c r="A170" s="2" t="n">
        <v>5</v>
      </c>
      <c r="B170" s="2" t="n">
        <v>8</v>
      </c>
    </row>
    <row r="171" customFormat="false" ht="14.25" hidden="false" customHeight="false" outlineLevel="0" collapsed="false">
      <c r="A171" s="3" t="n">
        <v>7</v>
      </c>
      <c r="B171" s="3" t="n">
        <v>8</v>
      </c>
    </row>
    <row r="172" customFormat="false" ht="14.25" hidden="false" customHeight="false" outlineLevel="0" collapsed="false">
      <c r="A172" s="2" t="n">
        <v>1</v>
      </c>
      <c r="B172" s="2" t="n">
        <v>9</v>
      </c>
    </row>
    <row r="173" customFormat="false" ht="14.25" hidden="false" customHeight="false" outlineLevel="0" collapsed="false">
      <c r="A173" s="3" t="n">
        <v>8</v>
      </c>
      <c r="B173" s="3" t="n">
        <v>6</v>
      </c>
    </row>
    <row r="174" customFormat="false" ht="14.25" hidden="false" customHeight="false" outlineLevel="0" collapsed="false">
      <c r="A174" s="2" t="n">
        <v>6</v>
      </c>
      <c r="B174" s="2" t="n">
        <v>7</v>
      </c>
    </row>
    <row r="175" customFormat="false" ht="14.25" hidden="false" customHeight="false" outlineLevel="0" collapsed="false">
      <c r="A175" s="3" t="n">
        <v>4</v>
      </c>
      <c r="B175" s="3" t="n">
        <v>9</v>
      </c>
    </row>
    <row r="176" customFormat="false" ht="14.25" hidden="false" customHeight="false" outlineLevel="0" collapsed="false">
      <c r="A176" s="2" t="n">
        <v>4</v>
      </c>
      <c r="B176" s="2" t="n">
        <v>8</v>
      </c>
    </row>
    <row r="177" customFormat="false" ht="14.25" hidden="false" customHeight="false" outlineLevel="0" collapsed="false">
      <c r="A177" s="3" t="n">
        <v>6</v>
      </c>
      <c r="B177" s="3" t="n">
        <v>7</v>
      </c>
    </row>
    <row r="178" customFormat="false" ht="14.25" hidden="false" customHeight="false" outlineLevel="0" collapsed="false">
      <c r="A178" s="2" t="n">
        <v>5</v>
      </c>
      <c r="B178" s="2" t="n">
        <v>9</v>
      </c>
    </row>
    <row r="179" customFormat="false" ht="14.25" hidden="false" customHeight="false" outlineLevel="0" collapsed="false">
      <c r="A179" s="3" t="n">
        <v>5</v>
      </c>
      <c r="B179" s="3" t="n">
        <v>6</v>
      </c>
    </row>
    <row r="180" customFormat="false" ht="14.25" hidden="false" customHeight="false" outlineLevel="0" collapsed="false">
      <c r="A180" s="2" t="n">
        <v>6</v>
      </c>
      <c r="B180" s="2" t="n">
        <v>7</v>
      </c>
    </row>
    <row r="181" customFormat="false" ht="14.25" hidden="false" customHeight="false" outlineLevel="0" collapsed="false">
      <c r="A181" s="3" t="n">
        <v>6</v>
      </c>
      <c r="B181" s="3" t="n">
        <v>6</v>
      </c>
    </row>
    <row r="182" customFormat="false" ht="14.25" hidden="false" customHeight="false" outlineLevel="0" collapsed="false">
      <c r="A182" s="2" t="n">
        <v>1</v>
      </c>
      <c r="B182" s="2" t="n">
        <v>10</v>
      </c>
    </row>
    <row r="183" customFormat="false" ht="14.25" hidden="false" customHeight="false" outlineLevel="0" collapsed="false">
      <c r="A183" s="3" t="n">
        <v>3</v>
      </c>
      <c r="B183" s="3" t="n">
        <v>10</v>
      </c>
    </row>
    <row r="184" customFormat="false" ht="14.25" hidden="false" customHeight="false" outlineLevel="0" collapsed="false">
      <c r="A184" s="2" t="n">
        <v>5</v>
      </c>
      <c r="B184" s="2" t="n">
        <v>9</v>
      </c>
    </row>
    <row r="185" customFormat="false" ht="14.25" hidden="false" customHeight="false" outlineLevel="0" collapsed="false">
      <c r="A185" s="3" t="n">
        <v>6</v>
      </c>
      <c r="B185" s="3" t="n">
        <v>7</v>
      </c>
    </row>
    <row r="186" customFormat="false" ht="14.25" hidden="false" customHeight="false" outlineLevel="0" collapsed="false">
      <c r="A186" s="2" t="n">
        <v>6</v>
      </c>
      <c r="B186" s="2" t="n">
        <v>5</v>
      </c>
    </row>
    <row r="187" customFormat="false" ht="14.25" hidden="false" customHeight="false" outlineLevel="0" collapsed="false">
      <c r="A187" s="3" t="n">
        <v>2</v>
      </c>
      <c r="B187" s="3" t="n">
        <v>10</v>
      </c>
    </row>
    <row r="188" customFormat="false" ht="14.25" hidden="false" customHeight="false" outlineLevel="0" collapsed="false">
      <c r="A188" s="2" t="n">
        <v>7</v>
      </c>
      <c r="B188" s="2" t="n">
        <v>7</v>
      </c>
    </row>
    <row r="189" customFormat="false" ht="14.25" hidden="false" customHeight="false" outlineLevel="0" collapsed="false">
      <c r="A189" s="3" t="n">
        <v>1</v>
      </c>
      <c r="B189" s="3" t="n">
        <v>9</v>
      </c>
    </row>
    <row r="190" customFormat="false" ht="14.25" hidden="false" customHeight="false" outlineLevel="0" collapsed="false">
      <c r="A190" s="2" t="n">
        <v>7</v>
      </c>
      <c r="B190" s="2" t="n">
        <v>9</v>
      </c>
    </row>
    <row r="191" customFormat="false" ht="14.25" hidden="false" customHeight="false" outlineLevel="0" collapsed="false">
      <c r="A191" s="3" t="n">
        <v>4</v>
      </c>
      <c r="B191" s="3" t="n">
        <v>8</v>
      </c>
    </row>
    <row r="192" customFormat="false" ht="14.25" hidden="false" customHeight="false" outlineLevel="0" collapsed="false">
      <c r="A192" s="2" t="n">
        <v>6</v>
      </c>
      <c r="B192" s="2" t="n">
        <v>5</v>
      </c>
    </row>
    <row r="193" customFormat="false" ht="14.25" hidden="false" customHeight="false" outlineLevel="0" collapsed="false">
      <c r="A193" s="3" t="n">
        <v>6</v>
      </c>
      <c r="B193" s="3" t="n">
        <v>8</v>
      </c>
    </row>
    <row r="194" customFormat="false" ht="14.25" hidden="false" customHeight="false" outlineLevel="0" collapsed="false">
      <c r="A194" s="2" t="n">
        <v>6</v>
      </c>
      <c r="B194" s="2" t="n">
        <v>7</v>
      </c>
    </row>
    <row r="195" customFormat="false" ht="14.25" hidden="false" customHeight="false" outlineLevel="0" collapsed="false">
      <c r="A195" s="3" t="n">
        <v>5</v>
      </c>
      <c r="B195" s="3" t="n">
        <v>7</v>
      </c>
    </row>
    <row r="196" customFormat="false" ht="14.25" hidden="false" customHeight="false" outlineLevel="0" collapsed="false">
      <c r="A196" s="2" t="n">
        <v>5</v>
      </c>
      <c r="B196" s="2" t="n">
        <v>7</v>
      </c>
    </row>
    <row r="197" customFormat="false" ht="14.25" hidden="false" customHeight="false" outlineLevel="0" collapsed="false">
      <c r="A197" s="3" t="n">
        <v>5</v>
      </c>
      <c r="B197" s="3" t="n">
        <v>7</v>
      </c>
    </row>
    <row r="198" customFormat="false" ht="14.25" hidden="false" customHeight="false" outlineLevel="0" collapsed="false">
      <c r="A198" s="2" t="n">
        <v>3</v>
      </c>
      <c r="B198" s="2" t="n">
        <v>9</v>
      </c>
    </row>
    <row r="199" customFormat="false" ht="14.25" hidden="false" customHeight="false" outlineLevel="0" collapsed="false">
      <c r="A199" s="3" t="n">
        <v>7</v>
      </c>
      <c r="B199" s="3" t="n">
        <v>8</v>
      </c>
    </row>
    <row r="200" customFormat="false" ht="14.25" hidden="false" customHeight="false" outlineLevel="0" collapsed="false">
      <c r="A200" s="2" t="n">
        <v>3</v>
      </c>
      <c r="B200" s="2" t="n">
        <v>8</v>
      </c>
    </row>
    <row r="201" customFormat="false" ht="14.25" hidden="false" customHeight="false" outlineLevel="0" collapsed="false">
      <c r="A201" s="3" t="n">
        <v>1</v>
      </c>
      <c r="B201" s="3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6" activeCellId="0" sqref="M2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9" min="9" style="0" width="13.34"/>
    <col collapsed="false" customWidth="true" hidden="false" outlineLevel="0" max="10" min="10" style="0" width="13.44"/>
    <col collapsed="false" customWidth="true" hidden="false" outlineLevel="0" max="11" min="11" style="0" width="13.77"/>
  </cols>
  <sheetData>
    <row r="1" customFormat="false" ht="14.25" hidden="false" customHeight="true" outlineLevel="0" collapsed="false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4" customFormat="false" ht="14.25" hidden="false" customHeight="true" outlineLevel="0" collapsed="false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N4" s="5" t="s">
        <v>5</v>
      </c>
      <c r="O4" s="5"/>
      <c r="P4" s="5"/>
      <c r="Q4" s="5"/>
      <c r="R4" s="5"/>
      <c r="S4" s="5"/>
      <c r="T4" s="5"/>
      <c r="U4" s="5"/>
      <c r="V4" s="5"/>
      <c r="W4" s="5"/>
    </row>
    <row r="5" customFormat="false" ht="14.25" hidden="false" customHeight="true" outlineLevel="0" collapsed="false">
      <c r="A5" s="6" t="s">
        <v>0</v>
      </c>
      <c r="B5" s="6"/>
      <c r="C5" s="6"/>
      <c r="D5" s="6"/>
      <c r="E5" s="6"/>
      <c r="F5" s="6"/>
      <c r="G5" s="6" t="s">
        <v>1</v>
      </c>
      <c r="H5" s="6"/>
      <c r="I5" s="6"/>
      <c r="J5" s="6"/>
      <c r="K5" s="6"/>
      <c r="L5" s="6"/>
      <c r="N5" s="7" t="s">
        <v>6</v>
      </c>
      <c r="O5" s="7"/>
      <c r="P5" s="7" t="s">
        <v>7</v>
      </c>
      <c r="Q5" s="7"/>
      <c r="R5" s="7" t="s">
        <v>8</v>
      </c>
      <c r="S5" s="7"/>
      <c r="T5" s="7" t="s">
        <v>9</v>
      </c>
      <c r="U5" s="7"/>
      <c r="V5" s="7" t="s">
        <v>10</v>
      </c>
      <c r="W5" s="7"/>
    </row>
    <row r="6" customFormat="false" ht="23.85" hidden="false" customHeight="true" outlineLevel="0" collapsed="false">
      <c r="A6" s="8" t="s">
        <v>11</v>
      </c>
      <c r="B6" s="8"/>
      <c r="C6" s="8" t="s">
        <v>12</v>
      </c>
      <c r="D6" s="8"/>
      <c r="E6" s="8" t="s">
        <v>13</v>
      </c>
      <c r="F6" s="8"/>
      <c r="G6" s="8" t="s">
        <v>11</v>
      </c>
      <c r="H6" s="8"/>
      <c r="I6" s="8" t="s">
        <v>12</v>
      </c>
      <c r="J6" s="8"/>
      <c r="K6" s="8" t="s">
        <v>13</v>
      </c>
      <c r="L6" s="8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4.25" hidden="false" customHeight="true" outlineLevel="0" collapsed="false">
      <c r="A7" s="9" t="s">
        <v>14</v>
      </c>
      <c r="B7" s="9"/>
      <c r="C7" s="9" t="s">
        <v>15</v>
      </c>
      <c r="D7" s="9"/>
      <c r="E7" s="9" t="s">
        <v>16</v>
      </c>
      <c r="F7" s="9"/>
      <c r="G7" s="9" t="s">
        <v>14</v>
      </c>
      <c r="H7" s="9"/>
      <c r="I7" s="9" t="s">
        <v>15</v>
      </c>
      <c r="J7" s="9"/>
      <c r="K7" s="9" t="s">
        <v>17</v>
      </c>
      <c r="L7" s="9"/>
      <c r="N7" s="10" t="n">
        <f aca="false">AVERAGE(B17:B24)</f>
        <v>25</v>
      </c>
      <c r="O7" s="10"/>
      <c r="P7" s="10" t="n">
        <f aca="false">B20</f>
        <v>32</v>
      </c>
      <c r="Q7" s="10"/>
      <c r="R7" s="10" t="n">
        <f aca="false">B25/2</f>
        <v>100</v>
      </c>
      <c r="S7" s="10"/>
      <c r="T7" s="11" t="n">
        <f aca="false">J25/(B25*Q12^3)</f>
        <v>-1.0151907070885</v>
      </c>
      <c r="U7" s="11"/>
      <c r="V7" s="11" t="n">
        <f aca="false">K25/(B25*Q12^4)</f>
        <v>0.116588806305183</v>
      </c>
      <c r="W7" s="11"/>
    </row>
    <row r="8" customFormat="false" ht="14.2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N8" s="10"/>
      <c r="O8" s="10"/>
      <c r="P8" s="10"/>
      <c r="Q8" s="10"/>
      <c r="R8" s="10"/>
      <c r="S8" s="10"/>
      <c r="T8" s="11"/>
      <c r="U8" s="11"/>
      <c r="V8" s="11"/>
      <c r="W8" s="11"/>
    </row>
    <row r="10" customFormat="false" ht="14.25" hidden="false" customHeight="true" outlineLevel="0" collapsed="false">
      <c r="A10" s="12" t="s">
        <v>18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N10" s="5" t="s">
        <v>19</v>
      </c>
      <c r="O10" s="5"/>
      <c r="P10" s="5"/>
      <c r="Q10" s="5"/>
      <c r="R10" s="5"/>
      <c r="S10" s="5"/>
      <c r="T10" s="5"/>
      <c r="U10" s="5"/>
      <c r="V10" s="5"/>
      <c r="W10" s="13"/>
    </row>
    <row r="11" customFormat="false" ht="14.25" hidden="false" customHeight="true" outlineLevel="0" collapsed="false">
      <c r="A11" s="7" t="s">
        <v>20</v>
      </c>
      <c r="B11" s="7"/>
      <c r="C11" s="7"/>
      <c r="D11" s="7"/>
      <c r="E11" s="7" t="s">
        <v>21</v>
      </c>
      <c r="F11" s="7"/>
      <c r="G11" s="7"/>
      <c r="H11" s="7"/>
      <c r="I11" s="7" t="s">
        <v>22</v>
      </c>
      <c r="J11" s="7"/>
      <c r="K11" s="7"/>
      <c r="L11" s="7"/>
      <c r="N11" s="7" t="s">
        <v>23</v>
      </c>
      <c r="O11" s="7"/>
      <c r="P11" s="7"/>
      <c r="Q11" s="7" t="s">
        <v>24</v>
      </c>
      <c r="R11" s="7"/>
      <c r="S11" s="7"/>
      <c r="T11" s="7" t="s">
        <v>25</v>
      </c>
      <c r="U11" s="7"/>
      <c r="V11" s="7"/>
    </row>
    <row r="12" customFormat="false" ht="14.25" hidden="false" customHeight="true" outlineLevel="0" collapsed="false">
      <c r="A12" s="9" t="s">
        <v>26</v>
      </c>
      <c r="B12" s="9"/>
      <c r="C12" s="9"/>
      <c r="D12" s="9"/>
      <c r="E12" s="9" t="s">
        <v>27</v>
      </c>
      <c r="F12" s="9"/>
      <c r="G12" s="9"/>
      <c r="H12" s="9"/>
      <c r="I12" s="9" t="s">
        <v>28</v>
      </c>
      <c r="J12" s="9"/>
      <c r="K12" s="9"/>
      <c r="L12" s="9"/>
      <c r="N12" s="10" t="n">
        <f aca="false">I25/B25</f>
        <v>435.45</v>
      </c>
      <c r="O12" s="10"/>
      <c r="P12" s="10"/>
      <c r="Q12" s="11" t="n">
        <f aca="false">SQRT(N12)</f>
        <v>20.8674387503594</v>
      </c>
      <c r="R12" s="11"/>
      <c r="S12" s="11"/>
      <c r="T12" s="11" t="n">
        <f aca="false">Q12/B25*100</f>
        <v>10.4337193751797</v>
      </c>
      <c r="U12" s="11"/>
      <c r="V12" s="11"/>
    </row>
    <row r="13" customFormat="false" ht="14.2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N13" s="10"/>
      <c r="O13" s="10"/>
      <c r="P13" s="10"/>
      <c r="Q13" s="11"/>
      <c r="R13" s="11"/>
      <c r="S13" s="11"/>
      <c r="T13" s="11"/>
      <c r="U13" s="11"/>
      <c r="V13" s="11"/>
    </row>
    <row r="15" customFormat="false" ht="14.25" hidden="false" customHeight="true" outlineLevel="0" collapsed="false">
      <c r="A15" s="5" t="s">
        <v>29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N15" s="5" t="s">
        <v>30</v>
      </c>
      <c r="O15" s="5"/>
      <c r="P15" s="5"/>
      <c r="Q15" s="5"/>
      <c r="R15" s="5"/>
      <c r="S15" s="5"/>
      <c r="T15" s="5"/>
      <c r="U15" s="5"/>
      <c r="V15" s="5"/>
    </row>
    <row r="16" customFormat="false" ht="14.25" hidden="false" customHeight="true" outlineLevel="0" collapsed="false">
      <c r="A16" s="14" t="s">
        <v>31</v>
      </c>
      <c r="B16" s="14" t="s">
        <v>32</v>
      </c>
      <c r="C16" s="14" t="s">
        <v>33</v>
      </c>
      <c r="D16" s="14" t="s">
        <v>34</v>
      </c>
      <c r="E16" s="14" t="s">
        <v>35</v>
      </c>
      <c r="F16" s="14" t="s">
        <v>36</v>
      </c>
      <c r="G16" s="14" t="s">
        <v>37</v>
      </c>
      <c r="H16" s="14" t="s">
        <v>38</v>
      </c>
      <c r="I16" s="14" t="s">
        <v>39</v>
      </c>
      <c r="J16" s="14" t="s">
        <v>40</v>
      </c>
      <c r="K16" s="14" t="s">
        <v>41</v>
      </c>
      <c r="N16" s="6" t="s">
        <v>42</v>
      </c>
      <c r="O16" s="6"/>
      <c r="P16" s="6"/>
      <c r="Q16" s="7" t="s">
        <v>43</v>
      </c>
      <c r="R16" s="7"/>
      <c r="S16" s="7"/>
      <c r="T16" s="7" t="s">
        <v>44</v>
      </c>
      <c r="U16" s="7"/>
      <c r="V16" s="7"/>
    </row>
    <row r="17" customFormat="false" ht="14.25" hidden="false" customHeight="false" outlineLevel="0" collapsed="false">
      <c r="A17" s="15" t="n">
        <v>1</v>
      </c>
      <c r="B17" s="16" t="n">
        <v>24</v>
      </c>
      <c r="C17" s="16" t="n">
        <f aca="false">B17</f>
        <v>24</v>
      </c>
      <c r="D17" s="17" t="n">
        <f aca="false">B17/$B$25</f>
        <v>0.12</v>
      </c>
      <c r="E17" s="17" t="n">
        <f aca="false">D17</f>
        <v>0.12</v>
      </c>
      <c r="F17" s="16" t="n">
        <f aca="false">D17*100</f>
        <v>12</v>
      </c>
      <c r="G17" s="16" t="n">
        <f aca="false">E17*100</f>
        <v>12</v>
      </c>
      <c r="H17" s="16" t="n">
        <f aca="false">A17*B17</f>
        <v>24</v>
      </c>
      <c r="I17" s="16" t="n">
        <f aca="false">(A17-$N$7)^2*B17</f>
        <v>13824</v>
      </c>
      <c r="J17" s="16" t="n">
        <f aca="false">(A17-$N$7)^3*B17</f>
        <v>-331776</v>
      </c>
      <c r="K17" s="16" t="n">
        <f aca="false">(B17-$N$7)^4*C17</f>
        <v>24</v>
      </c>
      <c r="N17" s="18" t="s">
        <v>45</v>
      </c>
      <c r="O17" s="19" t="n">
        <v>2</v>
      </c>
      <c r="P17" s="19"/>
      <c r="Q17" s="18" t="s">
        <v>46</v>
      </c>
      <c r="R17" s="19" t="n">
        <v>3</v>
      </c>
      <c r="S17" s="19"/>
      <c r="T17" s="18" t="s">
        <v>47</v>
      </c>
      <c r="U17" s="19" t="n">
        <v>2</v>
      </c>
      <c r="V17" s="19"/>
    </row>
    <row r="18" customFormat="false" ht="14.25" hidden="false" customHeight="false" outlineLevel="0" collapsed="false">
      <c r="A18" s="15" t="n">
        <v>2</v>
      </c>
      <c r="B18" s="16" t="n">
        <v>27</v>
      </c>
      <c r="C18" s="16" t="n">
        <f aca="false">C17+B18</f>
        <v>51</v>
      </c>
      <c r="D18" s="17" t="n">
        <f aca="false">B18/$B$25</f>
        <v>0.135</v>
      </c>
      <c r="E18" s="17" t="n">
        <f aca="false">E17+D18</f>
        <v>0.255</v>
      </c>
      <c r="F18" s="16" t="n">
        <f aca="false">D18*100</f>
        <v>13.5</v>
      </c>
      <c r="G18" s="16" t="n">
        <f aca="false">E18*100</f>
        <v>25.5</v>
      </c>
      <c r="H18" s="16" t="n">
        <f aca="false">A18*B18</f>
        <v>54</v>
      </c>
      <c r="I18" s="16" t="n">
        <f aca="false">(A18-$N$7)^2*B18</f>
        <v>14283</v>
      </c>
      <c r="J18" s="16" t="n">
        <f aca="false">(A18-$N$7)^3*B18</f>
        <v>-328509</v>
      </c>
      <c r="K18" s="16" t="n">
        <f aca="false">(B18-$N$7)^4*C18</f>
        <v>816</v>
      </c>
      <c r="N18" s="18" t="s">
        <v>48</v>
      </c>
      <c r="O18" s="19" t="n">
        <v>6</v>
      </c>
      <c r="P18" s="19"/>
      <c r="Q18" s="18" t="s">
        <v>49</v>
      </c>
      <c r="R18" s="19" t="n">
        <v>4</v>
      </c>
      <c r="S18" s="19"/>
      <c r="T18" s="18" t="s">
        <v>50</v>
      </c>
      <c r="U18" s="19" t="n">
        <v>6</v>
      </c>
      <c r="V18" s="19"/>
    </row>
    <row r="19" customFormat="false" ht="14.25" hidden="false" customHeight="false" outlineLevel="0" collapsed="false">
      <c r="A19" s="15" t="n">
        <v>3</v>
      </c>
      <c r="B19" s="16" t="n">
        <v>28</v>
      </c>
      <c r="C19" s="16" t="n">
        <f aca="false">C18+B19</f>
        <v>79</v>
      </c>
      <c r="D19" s="17" t="n">
        <f aca="false">B19/$B$25</f>
        <v>0.14</v>
      </c>
      <c r="E19" s="17" t="n">
        <f aca="false">E18+D19</f>
        <v>0.395</v>
      </c>
      <c r="F19" s="16" t="n">
        <f aca="false">D19*100</f>
        <v>14</v>
      </c>
      <c r="G19" s="16" t="n">
        <f aca="false">E19*100</f>
        <v>39.5</v>
      </c>
      <c r="H19" s="16" t="n">
        <f aca="false">A19*B19</f>
        <v>84</v>
      </c>
      <c r="I19" s="16" t="n">
        <f aca="false">(A19-$N$7)^2*B19</f>
        <v>13552</v>
      </c>
      <c r="J19" s="16" t="n">
        <f aca="false">(A19-$N$7)^3*B19</f>
        <v>-298144</v>
      </c>
      <c r="K19" s="16" t="n">
        <f aca="false">(B19-$N$7)^4*C19</f>
        <v>6399</v>
      </c>
      <c r="Q19" s="18" t="s">
        <v>51</v>
      </c>
      <c r="R19" s="19" t="n">
        <v>7</v>
      </c>
      <c r="S19" s="19"/>
      <c r="T19" s="18" t="s">
        <v>52</v>
      </c>
      <c r="U19" s="19" t="n">
        <v>8</v>
      </c>
      <c r="V19" s="19"/>
    </row>
    <row r="20" customFormat="false" ht="14.25" hidden="false" customHeight="false" outlineLevel="0" collapsed="false">
      <c r="A20" s="15" t="n">
        <v>4</v>
      </c>
      <c r="B20" s="16" t="n">
        <v>32</v>
      </c>
      <c r="C20" s="16" t="n">
        <f aca="false">C19+B20</f>
        <v>111</v>
      </c>
      <c r="D20" s="17" t="n">
        <f aca="false">B20/$B$25</f>
        <v>0.16</v>
      </c>
      <c r="E20" s="17" t="n">
        <f aca="false">E19+D20</f>
        <v>0.555</v>
      </c>
      <c r="F20" s="16" t="n">
        <f aca="false">D20*100</f>
        <v>16</v>
      </c>
      <c r="G20" s="16" t="n">
        <f aca="false">E20*100</f>
        <v>55.5</v>
      </c>
      <c r="H20" s="16" t="n">
        <f aca="false">A20*B20</f>
        <v>128</v>
      </c>
      <c r="I20" s="16" t="n">
        <f aca="false">(A20-$N$7)^2*B20</f>
        <v>14112</v>
      </c>
      <c r="J20" s="16" t="n">
        <f aca="false">(A20-$N$7)^3*B20</f>
        <v>-296352</v>
      </c>
      <c r="K20" s="16" t="n">
        <f aca="false">(B20-$N$7)^4*C20</f>
        <v>266511</v>
      </c>
      <c r="N20" s="0" t="s">
        <v>53</v>
      </c>
      <c r="O20" s="0" t="n">
        <f aca="false">1*B25/4</f>
        <v>50</v>
      </c>
    </row>
    <row r="21" customFormat="false" ht="14.25" hidden="false" customHeight="false" outlineLevel="0" collapsed="false">
      <c r="A21" s="15" t="n">
        <v>5</v>
      </c>
      <c r="B21" s="16" t="n">
        <v>26</v>
      </c>
      <c r="C21" s="16" t="n">
        <f aca="false">C20+B21</f>
        <v>137</v>
      </c>
      <c r="D21" s="17" t="n">
        <f aca="false">B21/$B$25</f>
        <v>0.13</v>
      </c>
      <c r="E21" s="17" t="n">
        <f aca="false">E20+D21</f>
        <v>0.685</v>
      </c>
      <c r="F21" s="16" t="n">
        <f aca="false">D21*100</f>
        <v>13</v>
      </c>
      <c r="G21" s="16" t="n">
        <f aca="false">E21*100</f>
        <v>68.5</v>
      </c>
      <c r="H21" s="16" t="n">
        <f aca="false">A21*B21</f>
        <v>130</v>
      </c>
      <c r="I21" s="16" t="n">
        <f aca="false">(A21-$N$7)^2*B21</f>
        <v>10400</v>
      </c>
      <c r="J21" s="16" t="n">
        <f aca="false">(A21-$N$7)^3*B21</f>
        <v>-208000</v>
      </c>
      <c r="K21" s="16" t="n">
        <f aca="false">(B21-$N$7)^4*C21</f>
        <v>137</v>
      </c>
      <c r="O21" s="0" t="n">
        <f aca="false">3*B25/4</f>
        <v>150</v>
      </c>
      <c r="Q21" s="20" t="s">
        <v>53</v>
      </c>
      <c r="R21" s="0" t="n">
        <f aca="false">3*B25/10</f>
        <v>60</v>
      </c>
      <c r="T21" s="20" t="s">
        <v>53</v>
      </c>
      <c r="U21" s="0" t="n">
        <f aca="false">23*B25/100</f>
        <v>46</v>
      </c>
    </row>
    <row r="22" customFormat="false" ht="14.25" hidden="false" customHeight="false" outlineLevel="0" collapsed="false">
      <c r="A22" s="15" t="n">
        <v>6</v>
      </c>
      <c r="B22" s="16" t="n">
        <v>26</v>
      </c>
      <c r="C22" s="16" t="n">
        <f aca="false">C21+B22</f>
        <v>163</v>
      </c>
      <c r="D22" s="17" t="n">
        <f aca="false">B22/$B$25</f>
        <v>0.13</v>
      </c>
      <c r="E22" s="17" t="n">
        <f aca="false">E21+D22</f>
        <v>0.815</v>
      </c>
      <c r="F22" s="16" t="n">
        <f aca="false">D22*100</f>
        <v>13</v>
      </c>
      <c r="G22" s="16" t="n">
        <f aca="false">E22*100</f>
        <v>81.5</v>
      </c>
      <c r="H22" s="16" t="n">
        <f aca="false">A22*B22</f>
        <v>156</v>
      </c>
      <c r="I22" s="16" t="n">
        <f aca="false">(A22-$N$7)^2*B22</f>
        <v>9386</v>
      </c>
      <c r="J22" s="16" t="n">
        <f aca="false">(A22-$N$7)^3*B22</f>
        <v>-178334</v>
      </c>
      <c r="K22" s="16" t="n">
        <f aca="false">(B22-$N$7)^4*C22</f>
        <v>163</v>
      </c>
      <c r="R22" s="0" t="n">
        <f aca="false">4*B25/10</f>
        <v>80</v>
      </c>
      <c r="U22" s="0" t="n">
        <f aca="false">75*B25/100</f>
        <v>150</v>
      </c>
    </row>
    <row r="23" customFormat="false" ht="14.25" hidden="false" customHeight="false" outlineLevel="0" collapsed="false">
      <c r="A23" s="15" t="n">
        <v>7</v>
      </c>
      <c r="B23" s="16" t="n">
        <v>24</v>
      </c>
      <c r="C23" s="16" t="n">
        <f aca="false">C22+B23</f>
        <v>187</v>
      </c>
      <c r="D23" s="17" t="n">
        <f aca="false">B23/$B$25</f>
        <v>0.12</v>
      </c>
      <c r="E23" s="17" t="n">
        <f aca="false">E22+D23</f>
        <v>0.935</v>
      </c>
      <c r="F23" s="16" t="n">
        <f aca="false">D23*100</f>
        <v>12</v>
      </c>
      <c r="G23" s="16" t="n">
        <f aca="false">E23*100</f>
        <v>93.5</v>
      </c>
      <c r="H23" s="16" t="n">
        <f aca="false">A23*B23</f>
        <v>168</v>
      </c>
      <c r="I23" s="16" t="n">
        <f aca="false">(A23-$N$7)^2*B23</f>
        <v>7776</v>
      </c>
      <c r="J23" s="16" t="n">
        <f aca="false">(A23-$N$7)^3*B23</f>
        <v>-139968</v>
      </c>
      <c r="K23" s="16" t="n">
        <f aca="false">(B23-$N$7)^4*C23</f>
        <v>187</v>
      </c>
      <c r="R23" s="0" t="n">
        <f aca="false">9*B25/10</f>
        <v>180</v>
      </c>
      <c r="U23" s="0" t="n">
        <f aca="false">97*B25/100</f>
        <v>194</v>
      </c>
    </row>
    <row r="24" customFormat="false" ht="14.25" hidden="false" customHeight="false" outlineLevel="0" collapsed="false">
      <c r="A24" s="15" t="n">
        <v>8</v>
      </c>
      <c r="B24" s="16" t="n">
        <v>13</v>
      </c>
      <c r="C24" s="16" t="n">
        <f aca="false">C23+B24</f>
        <v>200</v>
      </c>
      <c r="D24" s="17" t="n">
        <f aca="false">B24/$B$25</f>
        <v>0.065</v>
      </c>
      <c r="E24" s="17" t="n">
        <f aca="false">E23+D24</f>
        <v>1</v>
      </c>
      <c r="F24" s="16" t="n">
        <f aca="false">D24*100</f>
        <v>6.5</v>
      </c>
      <c r="G24" s="16" t="n">
        <f aca="false">E24*100</f>
        <v>100</v>
      </c>
      <c r="H24" s="16" t="n">
        <f aca="false">A24*B24</f>
        <v>104</v>
      </c>
      <c r="I24" s="16" t="n">
        <f aca="false">(A24-$N$7)^2*B24</f>
        <v>3757</v>
      </c>
      <c r="J24" s="16" t="n">
        <f aca="false">(A24-$N$7)^3*B24</f>
        <v>-63869</v>
      </c>
      <c r="K24" s="16" t="n">
        <f aca="false">(B24-$N$7)^4*C24</f>
        <v>4147200</v>
      </c>
    </row>
    <row r="25" customFormat="false" ht="14.25" hidden="false" customHeight="true" outlineLevel="0" collapsed="false">
      <c r="B25" s="16" t="n">
        <f aca="false">SUM(B17:B24)</f>
        <v>200</v>
      </c>
      <c r="I25" s="16" t="n">
        <f aca="false">SUM(I17:I24)</f>
        <v>87090</v>
      </c>
      <c r="J25" s="16" t="n">
        <f aca="false">SUM(J17:J24)</f>
        <v>-1844952</v>
      </c>
      <c r="K25" s="16" t="n">
        <f aca="false">SUM(K17:K24)</f>
        <v>4421437</v>
      </c>
    </row>
    <row r="27" customFormat="false" ht="14.25" hidden="false" customHeight="true" outlineLevel="0" collapsed="false">
      <c r="D27" s="7" t="s">
        <v>54</v>
      </c>
      <c r="E27" s="7"/>
      <c r="F27" s="7"/>
      <c r="G27" s="7"/>
      <c r="H27" s="7"/>
    </row>
    <row r="28" customFormat="false" ht="14.25" hidden="false" customHeight="true" outlineLevel="0" collapsed="false">
      <c r="A28" s="19" t="s">
        <v>55</v>
      </c>
      <c r="B28" s="21" t="s">
        <v>56</v>
      </c>
      <c r="C28" s="21"/>
      <c r="D28" s="21"/>
      <c r="E28" s="21"/>
      <c r="F28" s="19" t="s">
        <v>57</v>
      </c>
      <c r="G28" s="21" t="s">
        <v>58</v>
      </c>
      <c r="H28" s="21"/>
      <c r="I28" s="21"/>
      <c r="J28" s="21"/>
    </row>
    <row r="29" customFormat="false" ht="14.25" hidden="false" customHeight="true" outlineLevel="0" collapsed="false">
      <c r="A29" s="19"/>
      <c r="B29" s="21"/>
      <c r="C29" s="21"/>
      <c r="D29" s="21"/>
      <c r="E29" s="21"/>
      <c r="F29" s="19"/>
      <c r="G29" s="21"/>
      <c r="H29" s="21"/>
      <c r="I29" s="21"/>
      <c r="J29" s="21"/>
    </row>
    <row r="30" customFormat="false" ht="14.25" hidden="false" customHeight="true" outlineLevel="0" collapsed="false">
      <c r="A30" s="19" t="s">
        <v>59</v>
      </c>
      <c r="B30" s="21" t="s">
        <v>60</v>
      </c>
      <c r="C30" s="21"/>
      <c r="D30" s="21"/>
      <c r="E30" s="21"/>
      <c r="F30" s="19" t="s">
        <v>61</v>
      </c>
      <c r="G30" s="21" t="s">
        <v>62</v>
      </c>
      <c r="H30" s="21"/>
      <c r="I30" s="21"/>
      <c r="J30" s="21"/>
    </row>
    <row r="31" customFormat="false" ht="14.25" hidden="false" customHeight="true" outlineLevel="0" collapsed="false">
      <c r="A31" s="19"/>
      <c r="B31" s="21"/>
      <c r="C31" s="21"/>
      <c r="D31" s="21"/>
      <c r="E31" s="21"/>
      <c r="F31" s="19"/>
      <c r="G31" s="21"/>
      <c r="H31" s="21"/>
      <c r="I31" s="21"/>
      <c r="J31" s="21"/>
    </row>
    <row r="32" customFormat="false" ht="14.25" hidden="false" customHeight="true" outlineLevel="0" collapsed="false">
      <c r="A32" s="19" t="s">
        <v>63</v>
      </c>
      <c r="B32" s="21" t="s">
        <v>64</v>
      </c>
      <c r="C32" s="21"/>
      <c r="D32" s="21"/>
      <c r="E32" s="21"/>
      <c r="F32" s="19" t="s">
        <v>65</v>
      </c>
      <c r="G32" s="21" t="s">
        <v>66</v>
      </c>
      <c r="H32" s="21"/>
      <c r="I32" s="21"/>
      <c r="J32" s="21"/>
    </row>
    <row r="33" customFormat="false" ht="14.25" hidden="false" customHeight="true" outlineLevel="0" collapsed="false">
      <c r="A33" s="19"/>
      <c r="B33" s="21"/>
      <c r="C33" s="21"/>
      <c r="D33" s="21"/>
      <c r="E33" s="21"/>
      <c r="F33" s="19"/>
      <c r="G33" s="21"/>
      <c r="H33" s="21"/>
      <c r="I33" s="21"/>
      <c r="J33" s="21"/>
    </row>
    <row r="34" customFormat="false" ht="14.25" hidden="false" customHeight="true" outlineLevel="0" collapsed="false">
      <c r="A34" s="19" t="s">
        <v>67</v>
      </c>
      <c r="B34" s="21" t="s">
        <v>68</v>
      </c>
      <c r="C34" s="21"/>
      <c r="D34" s="21"/>
      <c r="E34" s="21"/>
      <c r="F34" s="19" t="s">
        <v>69</v>
      </c>
      <c r="G34" s="21" t="s">
        <v>70</v>
      </c>
      <c r="H34" s="21"/>
      <c r="I34" s="21"/>
      <c r="J34" s="21"/>
    </row>
    <row r="35" customFormat="false" ht="14.25" hidden="false" customHeight="false" outlineLevel="0" collapsed="false">
      <c r="A35" s="19"/>
      <c r="B35" s="21"/>
      <c r="C35" s="21"/>
      <c r="D35" s="21"/>
      <c r="E35" s="21"/>
      <c r="F35" s="19"/>
      <c r="G35" s="21"/>
      <c r="H35" s="21"/>
      <c r="I35" s="21"/>
      <c r="J35" s="21"/>
    </row>
    <row r="36" customFormat="false" ht="14.25" hidden="false" customHeight="true" outlineLevel="0" collapsed="false">
      <c r="D36" s="19" t="s">
        <v>71</v>
      </c>
      <c r="E36" s="21" t="s">
        <v>72</v>
      </c>
      <c r="F36" s="21"/>
      <c r="G36" s="21"/>
      <c r="H36" s="21"/>
    </row>
    <row r="37" customFormat="false" ht="14.25" hidden="false" customHeight="true" outlineLevel="0" collapsed="false">
      <c r="D37" s="19"/>
      <c r="E37" s="21"/>
      <c r="F37" s="21"/>
      <c r="G37" s="21"/>
      <c r="H37" s="21"/>
    </row>
    <row r="38" customFormat="false" ht="14.25" hidden="false" customHeight="true" outlineLevel="0" collapsed="false"/>
    <row r="39" customFormat="false" ht="14.25" hidden="false" customHeight="true" outlineLevel="0" collapsed="false">
      <c r="A39" s="5" t="s">
        <v>73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4.25" hidden="false" customHeight="true" outlineLevel="0" collapsed="false">
      <c r="A40" s="7" t="s">
        <v>74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customFormat="false" ht="14.25" hidden="false" customHeight="true" outlineLevel="0" collapsed="false">
      <c r="E41" s="9" t="s">
        <v>75</v>
      </c>
      <c r="F41" s="9"/>
      <c r="G41" s="9"/>
      <c r="H41" s="9"/>
    </row>
    <row r="42" customFormat="false" ht="14.25" hidden="false" customHeight="true" outlineLevel="0" collapsed="false">
      <c r="E42" s="9"/>
      <c r="F42" s="9"/>
      <c r="G42" s="9"/>
      <c r="H42" s="9"/>
    </row>
    <row r="43" customFormat="false" ht="14.25" hidden="false" customHeight="true" outlineLevel="0" collapsed="false">
      <c r="E43" s="9"/>
      <c r="F43" s="9"/>
      <c r="G43" s="9"/>
      <c r="H43" s="9"/>
    </row>
    <row r="45" customFormat="false" ht="14.25" hidden="false" customHeight="true" outlineLevel="0" collapsed="false">
      <c r="A45" s="7" t="s">
        <v>76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customFormat="false" ht="14.25" hidden="false" customHeight="true" outlineLevel="0" collapsed="false">
      <c r="E46" s="9" t="s">
        <v>77</v>
      </c>
      <c r="F46" s="9"/>
      <c r="G46" s="9"/>
      <c r="H46" s="9"/>
    </row>
    <row r="47" customFormat="false" ht="14.25" hidden="false" customHeight="false" outlineLevel="0" collapsed="false">
      <c r="E47" s="9"/>
      <c r="F47" s="9"/>
      <c r="G47" s="9"/>
      <c r="H47" s="9"/>
    </row>
    <row r="48" customFormat="false" ht="14.25" hidden="false" customHeight="false" outlineLevel="0" collapsed="false">
      <c r="E48" s="9"/>
      <c r="F48" s="9"/>
      <c r="G48" s="9"/>
      <c r="H48" s="9"/>
    </row>
    <row r="50" customFormat="false" ht="14.25" hidden="false" customHeight="true" outlineLevel="0" collapsed="false">
      <c r="A50" s="7" t="s">
        <v>78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customFormat="false" ht="14.25" hidden="false" customHeight="true" outlineLevel="0" collapsed="false">
      <c r="E51" s="9" t="s">
        <v>79</v>
      </c>
      <c r="F51" s="9"/>
      <c r="G51" s="9"/>
      <c r="H51" s="9"/>
    </row>
    <row r="52" customFormat="false" ht="14.25" hidden="false" customHeight="false" outlineLevel="0" collapsed="false">
      <c r="E52" s="9"/>
      <c r="F52" s="9"/>
      <c r="G52" s="9"/>
      <c r="H52" s="9"/>
    </row>
    <row r="53" customFormat="false" ht="14.25" hidden="false" customHeight="false" outlineLevel="0" collapsed="false">
      <c r="E53" s="9"/>
      <c r="F53" s="9"/>
      <c r="G53" s="9"/>
      <c r="H53" s="9"/>
    </row>
    <row r="55" customFormat="false" ht="14.25" hidden="false" customHeight="true" outlineLevel="0" collapsed="false">
      <c r="A55" s="6" t="s">
        <v>80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customFormat="false" ht="14.25" hidden="false" customHeight="true" outlineLevel="0" collapsed="false">
      <c r="E56" s="9" t="s">
        <v>81</v>
      </c>
      <c r="F56" s="9"/>
      <c r="G56" s="9"/>
      <c r="H56" s="9"/>
      <c r="I56" s="0" t="n">
        <f aca="false">SUM(F21:F24)</f>
        <v>44.5</v>
      </c>
    </row>
    <row r="57" customFormat="false" ht="14.25" hidden="false" customHeight="false" outlineLevel="0" collapsed="false">
      <c r="E57" s="9"/>
      <c r="F57" s="9"/>
      <c r="G57" s="9"/>
      <c r="H57" s="9"/>
    </row>
    <row r="58" customFormat="false" ht="14.25" hidden="false" customHeight="false" outlineLevel="0" collapsed="false">
      <c r="E58" s="9"/>
      <c r="F58" s="9"/>
      <c r="G58" s="9"/>
      <c r="H58" s="9"/>
    </row>
    <row r="60" customFormat="false" ht="14.25" hidden="false" customHeight="true" outlineLevel="0" collapsed="false">
      <c r="A60" s="7" t="s">
        <v>82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customFormat="false" ht="14.25" hidden="false" customHeight="true" outlineLevel="0" collapsed="false">
      <c r="E61" s="9" t="s">
        <v>83</v>
      </c>
      <c r="F61" s="9"/>
      <c r="G61" s="9"/>
      <c r="H61" s="9"/>
    </row>
    <row r="62" customFormat="false" ht="14.25" hidden="false" customHeight="false" outlineLevel="0" collapsed="false">
      <c r="E62" s="9"/>
      <c r="F62" s="9"/>
      <c r="G62" s="9"/>
      <c r="H62" s="9"/>
    </row>
    <row r="63" customFormat="false" ht="14.25" hidden="false" customHeight="false" outlineLevel="0" collapsed="false">
      <c r="E63" s="9"/>
      <c r="F63" s="9"/>
      <c r="G63" s="9"/>
      <c r="H63" s="9"/>
    </row>
    <row r="65" customFormat="false" ht="14.25" hidden="false" customHeight="true" outlineLevel="0" collapsed="false">
      <c r="A65" s="7" t="s">
        <v>84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customFormat="false" ht="14.25" hidden="false" customHeight="true" outlineLevel="0" collapsed="false">
      <c r="E66" s="9" t="s">
        <v>85</v>
      </c>
      <c r="F66" s="9"/>
      <c r="G66" s="9"/>
      <c r="H66" s="9"/>
    </row>
    <row r="67" customFormat="false" ht="14.25" hidden="false" customHeight="false" outlineLevel="0" collapsed="false">
      <c r="E67" s="9"/>
      <c r="F67" s="9"/>
      <c r="G67" s="9"/>
      <c r="H67" s="9"/>
    </row>
    <row r="68" customFormat="false" ht="14.25" hidden="false" customHeight="false" outlineLevel="0" collapsed="false">
      <c r="E68" s="9"/>
      <c r="F68" s="9"/>
      <c r="G68" s="9"/>
      <c r="H68" s="9"/>
    </row>
    <row r="70" customFormat="false" ht="14.25" hidden="false" customHeight="true" outlineLevel="0" collapsed="false">
      <c r="A70" s="7" t="s">
        <v>86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customFormat="false" ht="14.25" hidden="false" customHeight="true" outlineLevel="0" collapsed="false">
      <c r="E71" s="9" t="s">
        <v>87</v>
      </c>
      <c r="F71" s="9"/>
      <c r="G71" s="9"/>
      <c r="H71" s="9"/>
    </row>
    <row r="72" customFormat="false" ht="14.25" hidden="false" customHeight="false" outlineLevel="0" collapsed="false">
      <c r="E72" s="9"/>
      <c r="F72" s="9"/>
      <c r="G72" s="9"/>
      <c r="H72" s="9"/>
    </row>
    <row r="73" customFormat="false" ht="14.25" hidden="false" customHeight="false" outlineLevel="0" collapsed="false">
      <c r="E73" s="9"/>
      <c r="F73" s="9"/>
      <c r="G73" s="9"/>
      <c r="H73" s="9"/>
    </row>
    <row r="75" customFormat="false" ht="14.25" hidden="false" customHeight="true" outlineLevel="0" collapsed="false">
      <c r="A75" s="7" t="s">
        <v>88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customFormat="false" ht="14.25" hidden="false" customHeight="true" outlineLevel="0" collapsed="false">
      <c r="E76" s="9" t="s">
        <v>89</v>
      </c>
      <c r="F76" s="9"/>
      <c r="G76" s="9"/>
      <c r="H76" s="9"/>
    </row>
    <row r="77" customFormat="false" ht="14.25" hidden="false" customHeight="false" outlineLevel="0" collapsed="false">
      <c r="E77" s="9"/>
      <c r="F77" s="9"/>
      <c r="G77" s="9"/>
      <c r="H77" s="9"/>
    </row>
    <row r="78" customFormat="false" ht="14.25" hidden="false" customHeight="false" outlineLevel="0" collapsed="false">
      <c r="E78" s="9"/>
      <c r="F78" s="9"/>
      <c r="G78" s="9"/>
      <c r="H78" s="9"/>
    </row>
  </sheetData>
  <mergeCells count="90">
    <mergeCell ref="A1:X2"/>
    <mergeCell ref="A4:L4"/>
    <mergeCell ref="N4:W4"/>
    <mergeCell ref="A5:F5"/>
    <mergeCell ref="G5:L5"/>
    <mergeCell ref="N5:O6"/>
    <mergeCell ref="P5:Q6"/>
    <mergeCell ref="R5:S6"/>
    <mergeCell ref="T5:U6"/>
    <mergeCell ref="V5:W6"/>
    <mergeCell ref="A6:B6"/>
    <mergeCell ref="C6:D6"/>
    <mergeCell ref="E6:F6"/>
    <mergeCell ref="G6:H6"/>
    <mergeCell ref="I6:J6"/>
    <mergeCell ref="K6:L6"/>
    <mergeCell ref="A7:B8"/>
    <mergeCell ref="C7:D8"/>
    <mergeCell ref="E7:F8"/>
    <mergeCell ref="G7:H8"/>
    <mergeCell ref="I7:J8"/>
    <mergeCell ref="K7:L8"/>
    <mergeCell ref="N7:O8"/>
    <mergeCell ref="P7:Q8"/>
    <mergeCell ref="R7:S8"/>
    <mergeCell ref="T7:U8"/>
    <mergeCell ref="V7:W8"/>
    <mergeCell ref="A10:L10"/>
    <mergeCell ref="N10:V10"/>
    <mergeCell ref="A11:D11"/>
    <mergeCell ref="E11:H11"/>
    <mergeCell ref="I11:L11"/>
    <mergeCell ref="N11:P11"/>
    <mergeCell ref="Q11:S11"/>
    <mergeCell ref="T11:V11"/>
    <mergeCell ref="A12:D13"/>
    <mergeCell ref="E12:H13"/>
    <mergeCell ref="I12:L13"/>
    <mergeCell ref="N12:P13"/>
    <mergeCell ref="Q12:S13"/>
    <mergeCell ref="T12:V13"/>
    <mergeCell ref="A15:L15"/>
    <mergeCell ref="N15:V15"/>
    <mergeCell ref="N16:P16"/>
    <mergeCell ref="Q16:S16"/>
    <mergeCell ref="T16:V16"/>
    <mergeCell ref="O17:P17"/>
    <mergeCell ref="R17:S17"/>
    <mergeCell ref="U17:V17"/>
    <mergeCell ref="O18:P18"/>
    <mergeCell ref="R18:S18"/>
    <mergeCell ref="U18:V18"/>
    <mergeCell ref="R19:S19"/>
    <mergeCell ref="U19:V19"/>
    <mergeCell ref="D27:H27"/>
    <mergeCell ref="A28:A29"/>
    <mergeCell ref="B28:E29"/>
    <mergeCell ref="F28:F29"/>
    <mergeCell ref="G28:J29"/>
    <mergeCell ref="A30:A31"/>
    <mergeCell ref="B30:E31"/>
    <mergeCell ref="F30:F31"/>
    <mergeCell ref="G30:J31"/>
    <mergeCell ref="A32:A33"/>
    <mergeCell ref="B32:E33"/>
    <mergeCell ref="F32:F33"/>
    <mergeCell ref="G32:J33"/>
    <mergeCell ref="A34:A35"/>
    <mergeCell ref="B34:E35"/>
    <mergeCell ref="F34:F35"/>
    <mergeCell ref="G34:J35"/>
    <mergeCell ref="D36:D37"/>
    <mergeCell ref="E36:H37"/>
    <mergeCell ref="A39:L39"/>
    <mergeCell ref="A40:L40"/>
    <mergeCell ref="E41:H43"/>
    <mergeCell ref="A45:L45"/>
    <mergeCell ref="E46:H48"/>
    <mergeCell ref="A50:L50"/>
    <mergeCell ref="E51:H53"/>
    <mergeCell ref="A55:L55"/>
    <mergeCell ref="E56:H58"/>
    <mergeCell ref="A60:L60"/>
    <mergeCell ref="E61:H63"/>
    <mergeCell ref="A65:L65"/>
    <mergeCell ref="E66:H68"/>
    <mergeCell ref="A70:L70"/>
    <mergeCell ref="E71:H73"/>
    <mergeCell ref="A75:L75"/>
    <mergeCell ref="E76:H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22" t="s">
        <v>90</v>
      </c>
    </row>
    <row r="2" customFormat="false" ht="15" hidden="false" customHeight="false" outlineLevel="0" collapsed="false">
      <c r="A2" s="0" t="s">
        <v>91</v>
      </c>
    </row>
    <row r="4" customFormat="false" ht="15" hidden="false" customHeight="false" outlineLevel="0" collapsed="false">
      <c r="A4" s="23" t="s">
        <v>92</v>
      </c>
      <c r="B4" s="24"/>
    </row>
    <row r="5" customFormat="false" ht="15" hidden="false" customHeight="false" outlineLevel="0" collapsed="false">
      <c r="A5" s="0" t="s">
        <v>93</v>
      </c>
      <c r="B5" s="25" t="n">
        <f aca="false">COUNT('Datos Estudiantes'!$A$2:$A$201)</f>
        <v>200</v>
      </c>
    </row>
    <row r="6" customFormat="false" ht="15" hidden="false" customHeight="false" outlineLevel="0" collapsed="false">
      <c r="A6" s="0" t="s">
        <v>94</v>
      </c>
      <c r="B6" s="26" t="n">
        <f aca="false">AVERAGE('Datos Estudiantes'!$A$2:$A$201)</f>
        <v>4.24</v>
      </c>
    </row>
    <row r="7" customFormat="false" ht="15" hidden="false" customHeight="false" outlineLevel="0" collapsed="false">
      <c r="A7" s="0" t="s">
        <v>95</v>
      </c>
      <c r="B7" s="26" t="n">
        <f aca="false">AVERAGE('Datos Estudiantes'!$B$2:$B$201)</f>
        <v>7.79</v>
      </c>
    </row>
    <row r="8" customFormat="false" ht="15" hidden="false" customHeight="false" outlineLevel="0" collapsed="false">
      <c r="A8" s="0" t="s">
        <v>96</v>
      </c>
      <c r="B8" s="27" t="n">
        <f aca="false">SLOPE('Datos Estudiantes'!$B$2:$B$201,'Datos Estudiantes'!$A$2:$A$201)</f>
        <v>-0.378901708255076</v>
      </c>
    </row>
    <row r="9" customFormat="false" ht="15" hidden="false" customHeight="false" outlineLevel="0" collapsed="false">
      <c r="A9" s="0" t="s">
        <v>97</v>
      </c>
      <c r="B9" s="27" t="n">
        <f aca="false">INTERCEPT('Datos Estudiantes'!$B$2:$B$201,'Datos Estudiantes'!$A$2:$A$201)</f>
        <v>9.39654324300152</v>
      </c>
    </row>
    <row r="10" customFormat="false" ht="15" hidden="false" customHeight="false" outlineLevel="0" collapsed="false">
      <c r="A10" s="0" t="s">
        <v>98</v>
      </c>
      <c r="B10" s="27" t="n">
        <f aca="false">CORREL('Datos Estudiantes'!$A$2:$A$201,'Datos Estudiantes'!$B$2:$B$201)</f>
        <v>-0.685626239663212</v>
      </c>
    </row>
    <row r="11" customFormat="false" ht="15" hidden="false" customHeight="false" outlineLevel="0" collapsed="false">
      <c r="A11" s="0" t="s">
        <v>99</v>
      </c>
      <c r="B11" s="27" t="n">
        <f aca="false">RSQ('Datos Estudiantes'!$B$2:$B$201,'Datos Estudiantes'!$A$2:$A$201)</f>
        <v>0.470083340514716</v>
      </c>
    </row>
    <row r="13" customFormat="false" ht="15" hidden="false" customHeight="false" outlineLevel="0" collapsed="false">
      <c r="A13" s="28" t="s">
        <v>100</v>
      </c>
      <c r="B13" s="28" t="str">
        <f aca="false">"ŷ = "&amp;ROUND(B9,3)&amp;" "&amp;TEXT(B8,"+0.000;-0.000")&amp;"·x"</f>
        <v>ŷ = 9.397 -0.379·x</v>
      </c>
    </row>
    <row r="15" customFormat="false" ht="15" hidden="false" customHeight="false" outlineLevel="0" collapsed="false">
      <c r="A15" s="23" t="s">
        <v>54</v>
      </c>
    </row>
    <row r="16" customFormat="false" ht="42" hidden="false" customHeight="true" outlineLevel="0" collapsed="false">
      <c r="A16" s="28" t="s">
        <v>101</v>
      </c>
      <c r="B16" s="29" t="s">
        <v>102</v>
      </c>
    </row>
    <row r="17" customFormat="false" ht="42" hidden="false" customHeight="true" outlineLevel="0" collapsed="false">
      <c r="A17" s="28" t="s">
        <v>103</v>
      </c>
      <c r="B17" s="29" t="s">
        <v>104</v>
      </c>
    </row>
    <row r="18" customFormat="false" ht="42" hidden="false" customHeight="true" outlineLevel="0" collapsed="false">
      <c r="A18" s="28" t="s">
        <v>105</v>
      </c>
      <c r="B18" s="29" t="s">
        <v>106</v>
      </c>
    </row>
    <row r="19" customFormat="false" ht="42" hidden="false" customHeight="true" outlineLevel="0" collapsed="false">
      <c r="A19" s="28" t="s">
        <v>107</v>
      </c>
      <c r="B19" s="29" t="s">
        <v>108</v>
      </c>
    </row>
    <row r="20" customFormat="false" ht="42" hidden="false" customHeight="true" outlineLevel="0" collapsed="false">
      <c r="A20" s="28" t="s">
        <v>109</v>
      </c>
      <c r="B20" s="2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2026-06-08T15:15:53Z</dcterms:created>
  <dc:creator>openpyxl</dc:creator>
  <dc:description/>
  <dc:language>en-US</dc:language>
  <cp:lastModifiedBy/>
  <dcterms:modified xsi:type="dcterms:W3CDTF">2026-06-11T14:42:39Z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